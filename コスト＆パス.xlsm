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588b84fc98a27d2/デスクトップ/wordexell/"/>
    </mc:Choice>
  </mc:AlternateContent>
  <xr:revisionPtr revIDLastSave="210" documentId="13_ncr:1_{8A061C8F-4997-4663-B1DA-766A6B421F6B}" xr6:coauthVersionLast="47" xr6:coauthVersionMax="47" xr10:uidLastSave="{EE89110E-7067-4B11-8B93-094662CA86C5}"/>
  <bookViews>
    <workbookView xWindow="795" yWindow="945" windowWidth="25500" windowHeight="14640" xr2:uid="{29DF9E27-744B-4635-BA69-200AD5544D78}"/>
  </bookViews>
  <sheets>
    <sheet name="マンション経費" sheetId="1" r:id="rId1"/>
    <sheet name="NISA結果乱数" sheetId="12" r:id="rId2"/>
    <sheet name="所得税と年金" sheetId="3" r:id="rId3"/>
    <sheet name="2024-11月住宅初期費用" sheetId="6" r:id="rId4"/>
    <sheet name="ron" sheetId="10" r:id="rId5"/>
    <sheet name="paswad" sheetId="11" r:id="rId6"/>
  </sheets>
  <externalReferences>
    <externalReference r:id="rId7"/>
  </externalReferences>
  <definedNames>
    <definedName name="_xlnm.Print_Area" localSheetId="0">マンション経費!$B$2:$N$56</definedName>
    <definedName name="sk">[1]sk!$B$2:$B$45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1" l="1"/>
  <c r="E4" i="1"/>
  <c r="E12" i="1"/>
  <c r="E26" i="1"/>
  <c r="J10" i="1"/>
  <c r="E9" i="1"/>
  <c r="E8" i="1"/>
  <c r="E18" i="1"/>
  <c r="E46" i="1"/>
  <c r="J11" i="1"/>
  <c r="J5" i="1"/>
  <c r="J4" i="1"/>
  <c r="J9" i="1"/>
  <c r="J15" i="1" s="1"/>
  <c r="J27" i="1"/>
  <c r="J26" i="1"/>
  <c r="E37" i="1"/>
  <c r="E38" i="1"/>
  <c r="E39" i="1"/>
  <c r="E36" i="1"/>
  <c r="E13" i="1"/>
  <c r="E11" i="1"/>
  <c r="E27" i="1"/>
  <c r="E14" i="1"/>
  <c r="E10" i="1"/>
  <c r="E42" i="1"/>
  <c r="E41" i="1"/>
  <c r="E40" i="1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6" i="12"/>
  <c r="H6" i="12" s="1"/>
  <c r="F7" i="12" s="1"/>
  <c r="C6" i="12"/>
  <c r="C7" i="12" s="1"/>
  <c r="C8" i="12" s="1"/>
  <c r="C9" i="12" s="1"/>
  <c r="C10" i="12" s="1"/>
  <c r="C11" i="12" s="1"/>
  <c r="C12" i="12" s="1"/>
  <c r="C13" i="12" s="1"/>
  <c r="C14" i="12" s="1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27" i="12" s="1"/>
  <c r="C28" i="12" s="1"/>
  <c r="C29" i="12" s="1"/>
  <c r="C30" i="12" s="1"/>
  <c r="C31" i="12" s="1"/>
  <c r="D8" i="12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E37" i="6"/>
  <c r="E34" i="6"/>
  <c r="E32" i="6"/>
  <c r="E8" i="6"/>
  <c r="K2" i="10"/>
  <c r="J2" i="10"/>
  <c r="B7" i="12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C5" i="1"/>
  <c r="E5" i="1" s="1"/>
  <c r="C6" i="1" s="1"/>
  <c r="H4" i="10"/>
  <c r="H5" i="10" s="1"/>
  <c r="H6" i="10" s="1"/>
  <c r="H7" i="10" s="1"/>
  <c r="H8" i="10" s="1"/>
  <c r="H9" i="10" s="1"/>
  <c r="H10" i="10" s="1"/>
  <c r="H11" i="10" s="1"/>
  <c r="H12" i="10" s="1"/>
  <c r="H13" i="10" s="1"/>
  <c r="H14" i="10" s="1"/>
  <c r="H15" i="10" s="1"/>
  <c r="H16" i="10" s="1"/>
  <c r="H17" i="10" s="1"/>
  <c r="H18" i="10" s="1"/>
  <c r="H19" i="10" s="1"/>
  <c r="H20" i="10" s="1"/>
  <c r="H21" i="10" s="1"/>
  <c r="H22" i="10" s="1"/>
  <c r="H23" i="10" s="1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G4" i="10"/>
  <c r="K4" i="10" s="1"/>
  <c r="F5" i="10"/>
  <c r="C5" i="10"/>
  <c r="C6" i="10" s="1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C28" i="10" s="1"/>
  <c r="C29" i="10" s="1"/>
  <c r="C30" i="10" s="1"/>
  <c r="C31" i="10" s="1"/>
  <c r="C32" i="10" s="1"/>
  <c r="C33" i="10" s="1"/>
  <c r="C34" i="10" s="1"/>
  <c r="C35" i="10" s="1"/>
  <c r="C36" i="10" s="1"/>
  <c r="C37" i="10" s="1"/>
  <c r="C38" i="10" s="1"/>
  <c r="C39" i="10" s="1"/>
  <c r="B5" i="10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D5" i="10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18" i="3"/>
  <c r="E13" i="6"/>
  <c r="D18" i="3"/>
  <c r="E18" i="3" s="1"/>
  <c r="F18" i="3" s="1"/>
  <c r="G18" i="3" s="1"/>
  <c r="O18" i="3"/>
  <c r="B19" i="3"/>
  <c r="B20" i="3" s="1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E17" i="1"/>
  <c r="J17" i="1"/>
  <c r="J23" i="1"/>
  <c r="J18" i="1"/>
  <c r="J21" i="1"/>
  <c r="J19" i="1"/>
  <c r="J22" i="1"/>
  <c r="J20" i="1"/>
  <c r="E20" i="1"/>
  <c r="E22" i="1"/>
  <c r="E19" i="1"/>
  <c r="E21" i="1"/>
  <c r="E43" i="1"/>
  <c r="E28" i="1" l="1"/>
  <c r="J28" i="1"/>
  <c r="J24" i="1"/>
  <c r="E24" i="1"/>
  <c r="E6" i="1"/>
  <c r="E44" i="1"/>
  <c r="H6" i="1"/>
  <c r="J6" i="1" s="1"/>
  <c r="L6" i="12"/>
  <c r="G33" i="12"/>
  <c r="H40" i="10"/>
  <c r="L2" i="10"/>
  <c r="I4" i="10" s="1"/>
  <c r="K6" i="12"/>
  <c r="J6" i="12"/>
  <c r="H7" i="12"/>
  <c r="L7" i="12" s="1"/>
  <c r="E5" i="10"/>
  <c r="F6" i="10"/>
  <c r="D6" i="10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20" i="3"/>
  <c r="E20" i="3" s="1"/>
  <c r="F20" i="3" s="1"/>
  <c r="G20" i="3" s="1"/>
  <c r="B21" i="3"/>
  <c r="H18" i="3"/>
  <c r="I18" i="3"/>
  <c r="J18" i="3" s="1"/>
  <c r="D19" i="3"/>
  <c r="E19" i="3" s="1"/>
  <c r="F19" i="3" s="1"/>
  <c r="G19" i="3" s="1"/>
  <c r="D13" i="3"/>
  <c r="F13" i="3" s="1"/>
  <c r="G13" i="3" s="1"/>
  <c r="J30" i="1" l="1"/>
  <c r="J31" i="1" s="1"/>
  <c r="E15" i="1"/>
  <c r="E30" i="1" s="1"/>
  <c r="E31" i="1" s="1"/>
  <c r="J7" i="12"/>
  <c r="F8" i="12"/>
  <c r="H8" i="12" s="1"/>
  <c r="L8" i="12" s="1"/>
  <c r="I5" i="10"/>
  <c r="I6" i="10" s="1"/>
  <c r="I7" i="10" s="1"/>
  <c r="I8" i="10" s="1"/>
  <c r="I9" i="10" s="1"/>
  <c r="I10" i="10" s="1"/>
  <c r="I11" i="10" s="1"/>
  <c r="I12" i="10" s="1"/>
  <c r="I13" i="10" s="1"/>
  <c r="I14" i="10" s="1"/>
  <c r="I15" i="10" s="1"/>
  <c r="I16" i="10" s="1"/>
  <c r="I17" i="10" s="1"/>
  <c r="I18" i="10" s="1"/>
  <c r="I19" i="10" s="1"/>
  <c r="I20" i="10" s="1"/>
  <c r="I21" i="10" s="1"/>
  <c r="I22" i="10" s="1"/>
  <c r="I23" i="10" s="1"/>
  <c r="I24" i="10" s="1"/>
  <c r="I25" i="10" s="1"/>
  <c r="I26" i="10" s="1"/>
  <c r="I27" i="10" s="1"/>
  <c r="I28" i="10" s="1"/>
  <c r="I29" i="10" s="1"/>
  <c r="I30" i="10" s="1"/>
  <c r="I31" i="10" s="1"/>
  <c r="I32" i="10" s="1"/>
  <c r="I33" i="10" s="1"/>
  <c r="I34" i="10" s="1"/>
  <c r="I35" i="10" s="1"/>
  <c r="I36" i="10" s="1"/>
  <c r="I37" i="10" s="1"/>
  <c r="I38" i="10" s="1"/>
  <c r="I39" i="10" s="1"/>
  <c r="G5" i="10"/>
  <c r="K7" i="12"/>
  <c r="D37" i="10"/>
  <c r="F7" i="10"/>
  <c r="H20" i="3"/>
  <c r="I20" i="3"/>
  <c r="J20" i="3" s="1"/>
  <c r="H19" i="3"/>
  <c r="I19" i="3"/>
  <c r="J19" i="3" s="1"/>
  <c r="B22" i="3"/>
  <c r="D21" i="3"/>
  <c r="E21" i="3" s="1"/>
  <c r="F21" i="3" s="1"/>
  <c r="G21" i="3" s="1"/>
  <c r="I13" i="3"/>
  <c r="J8" i="12" l="1"/>
  <c r="F9" i="12"/>
  <c r="H9" i="12" s="1"/>
  <c r="L9" i="12" s="1"/>
  <c r="I40" i="10"/>
  <c r="E6" i="10"/>
  <c r="G6" i="10" s="1"/>
  <c r="K5" i="10"/>
  <c r="K8" i="12"/>
  <c r="D38" i="10"/>
  <c r="F8" i="10"/>
  <c r="I21" i="3"/>
  <c r="J21" i="3" s="1"/>
  <c r="H21" i="3"/>
  <c r="K13" i="3"/>
  <c r="M13" i="3" s="1"/>
  <c r="N13" i="3" s="1"/>
  <c r="D22" i="3"/>
  <c r="E22" i="3" s="1"/>
  <c r="F22" i="3" s="1"/>
  <c r="G22" i="3" s="1"/>
  <c r="I22" i="3" s="1"/>
  <c r="B23" i="3"/>
  <c r="J9" i="12" l="1"/>
  <c r="F10" i="12"/>
  <c r="H10" i="12" s="1"/>
  <c r="L10" i="12" s="1"/>
  <c r="K6" i="10"/>
  <c r="E7" i="10"/>
  <c r="G7" i="10" s="1"/>
  <c r="K7" i="10" s="1"/>
  <c r="K9" i="12"/>
  <c r="D39" i="10"/>
  <c r="F9" i="10"/>
  <c r="F10" i="10" s="1"/>
  <c r="F11" i="10" s="1"/>
  <c r="F12" i="10" s="1"/>
  <c r="F13" i="10" s="1"/>
  <c r="F14" i="10" s="1"/>
  <c r="F15" i="10" s="1"/>
  <c r="F16" i="10" s="1"/>
  <c r="F17" i="10" s="1"/>
  <c r="F18" i="10" s="1"/>
  <c r="F19" i="10" s="1"/>
  <c r="F20" i="10" s="1"/>
  <c r="F21" i="10" s="1"/>
  <c r="F22" i="10" s="1"/>
  <c r="F23" i="10" s="1"/>
  <c r="F24" i="10" s="1"/>
  <c r="F25" i="10" s="1"/>
  <c r="F26" i="10" s="1"/>
  <c r="F27" i="10" s="1"/>
  <c r="F28" i="10" s="1"/>
  <c r="F29" i="10" s="1"/>
  <c r="F30" i="10" s="1"/>
  <c r="F31" i="10" s="1"/>
  <c r="F32" i="10" s="1"/>
  <c r="F33" i="10" s="1"/>
  <c r="F34" i="10" s="1"/>
  <c r="F35" i="10" s="1"/>
  <c r="F36" i="10" s="1"/>
  <c r="F37" i="10" s="1"/>
  <c r="F38" i="10" s="1"/>
  <c r="F39" i="10" s="1"/>
  <c r="B24" i="3"/>
  <c r="D23" i="3"/>
  <c r="E23" i="3" s="1"/>
  <c r="F23" i="3" s="1"/>
  <c r="G23" i="3" s="1"/>
  <c r="H22" i="3"/>
  <c r="J22" i="3"/>
  <c r="F11" i="12" l="1"/>
  <c r="H11" i="12" s="1"/>
  <c r="L11" i="12" s="1"/>
  <c r="E8" i="10"/>
  <c r="K10" i="12"/>
  <c r="J10" i="12"/>
  <c r="H23" i="3"/>
  <c r="I23" i="3"/>
  <c r="J23" i="3" s="1"/>
  <c r="D24" i="3"/>
  <c r="E24" i="3" s="1"/>
  <c r="F24" i="3" s="1"/>
  <c r="G24" i="3" s="1"/>
  <c r="B25" i="3"/>
  <c r="F12" i="12" l="1"/>
  <c r="H12" i="12" s="1"/>
  <c r="L12" i="12" s="1"/>
  <c r="J11" i="12"/>
  <c r="K11" i="12"/>
  <c r="G8" i="10"/>
  <c r="B26" i="3"/>
  <c r="D25" i="3"/>
  <c r="E25" i="3" s="1"/>
  <c r="F25" i="3" s="1"/>
  <c r="G25" i="3" s="1"/>
  <c r="H24" i="3"/>
  <c r="I24" i="3"/>
  <c r="J24" i="3" s="1"/>
  <c r="F13" i="12" l="1"/>
  <c r="H13" i="12" s="1"/>
  <c r="L13" i="12" s="1"/>
  <c r="K12" i="12"/>
  <c r="J12" i="12"/>
  <c r="E9" i="10"/>
  <c r="G9" i="10" s="1"/>
  <c r="K8" i="10"/>
  <c r="H25" i="3"/>
  <c r="I25" i="3"/>
  <c r="J25" i="3" s="1"/>
  <c r="D26" i="3"/>
  <c r="E26" i="3" s="1"/>
  <c r="F26" i="3" s="1"/>
  <c r="G26" i="3" s="1"/>
  <c r="B27" i="3"/>
  <c r="J13" i="12" l="1"/>
  <c r="K13" i="12"/>
  <c r="F14" i="12"/>
  <c r="H14" i="12" s="1"/>
  <c r="L14" i="12" s="1"/>
  <c r="E10" i="10"/>
  <c r="G10" i="10" s="1"/>
  <c r="K10" i="10" s="1"/>
  <c r="K9" i="10"/>
  <c r="D27" i="3"/>
  <c r="E27" i="3" s="1"/>
  <c r="F27" i="3" s="1"/>
  <c r="G27" i="3" s="1"/>
  <c r="B28" i="3"/>
  <c r="H26" i="3"/>
  <c r="I26" i="3"/>
  <c r="J26" i="3" s="1"/>
  <c r="K14" i="12" l="1"/>
  <c r="J14" i="12"/>
  <c r="F15" i="12"/>
  <c r="H15" i="12" s="1"/>
  <c r="L15" i="12" s="1"/>
  <c r="E11" i="10"/>
  <c r="G11" i="10"/>
  <c r="K11" i="10" s="1"/>
  <c r="D28" i="3"/>
  <c r="E28" i="3" s="1"/>
  <c r="F28" i="3" s="1"/>
  <c r="G28" i="3" s="1"/>
  <c r="B29" i="3"/>
  <c r="H27" i="3"/>
  <c r="I27" i="3"/>
  <c r="J27" i="3" s="1"/>
  <c r="J15" i="12" l="1"/>
  <c r="K15" i="12"/>
  <c r="F16" i="12"/>
  <c r="H16" i="12" s="1"/>
  <c r="L16" i="12" s="1"/>
  <c r="E12" i="10"/>
  <c r="G12" i="10"/>
  <c r="K12" i="10" s="1"/>
  <c r="D29" i="3"/>
  <c r="E29" i="3" s="1"/>
  <c r="F29" i="3" s="1"/>
  <c r="G29" i="3" s="1"/>
  <c r="B30" i="3"/>
  <c r="H28" i="3"/>
  <c r="I28" i="3"/>
  <c r="J28" i="3" s="1"/>
  <c r="J16" i="12" l="1"/>
  <c r="K16" i="12"/>
  <c r="F17" i="12"/>
  <c r="H17" i="12" s="1"/>
  <c r="L17" i="12" s="1"/>
  <c r="E13" i="10"/>
  <c r="G13" i="10" s="1"/>
  <c r="D30" i="3"/>
  <c r="E30" i="3" s="1"/>
  <c r="F30" i="3" s="1"/>
  <c r="G30" i="3" s="1"/>
  <c r="B31" i="3"/>
  <c r="H29" i="3"/>
  <c r="I29" i="3"/>
  <c r="J29" i="3" s="1"/>
  <c r="J17" i="12" l="1"/>
  <c r="K17" i="12"/>
  <c r="F18" i="12"/>
  <c r="H18" i="12" s="1"/>
  <c r="L18" i="12" s="1"/>
  <c r="K13" i="10"/>
  <c r="E14" i="10"/>
  <c r="G14" i="10" s="1"/>
  <c r="D31" i="3"/>
  <c r="E31" i="3" s="1"/>
  <c r="F31" i="3" s="1"/>
  <c r="G31" i="3" s="1"/>
  <c r="B32" i="3"/>
  <c r="D32" i="3" s="1"/>
  <c r="E32" i="3" s="1"/>
  <c r="F32" i="3" s="1"/>
  <c r="G32" i="3" s="1"/>
  <c r="H30" i="3"/>
  <c r="I30" i="3"/>
  <c r="J30" i="3" s="1"/>
  <c r="K18" i="12" l="1"/>
  <c r="J18" i="12"/>
  <c r="F19" i="12"/>
  <c r="H19" i="12" s="1"/>
  <c r="L19" i="12" s="1"/>
  <c r="E15" i="10"/>
  <c r="G15" i="10" s="1"/>
  <c r="K14" i="10"/>
  <c r="H32" i="3"/>
  <c r="I32" i="3"/>
  <c r="J32" i="3" s="1"/>
  <c r="H31" i="3"/>
  <c r="I31" i="3"/>
  <c r="J31" i="3" s="1"/>
  <c r="J19" i="12" l="1"/>
  <c r="K19" i="12"/>
  <c r="F20" i="12"/>
  <c r="H20" i="12" s="1"/>
  <c r="L20" i="12" s="1"/>
  <c r="E16" i="10"/>
  <c r="G16" i="10" s="1"/>
  <c r="K15" i="10"/>
  <c r="J20" i="12" l="1"/>
  <c r="K20" i="12"/>
  <c r="F21" i="12"/>
  <c r="H21" i="12" s="1"/>
  <c r="L21" i="12" s="1"/>
  <c r="K16" i="10"/>
  <c r="E17" i="10"/>
  <c r="G17" i="10" s="1"/>
  <c r="F22" i="12" l="1"/>
  <c r="H22" i="12" s="1"/>
  <c r="L22" i="12" s="1"/>
  <c r="K21" i="12"/>
  <c r="J21" i="12"/>
  <c r="K17" i="10"/>
  <c r="E18" i="10"/>
  <c r="G18" i="10" s="1"/>
  <c r="K22" i="12" l="1"/>
  <c r="J22" i="12"/>
  <c r="F23" i="12"/>
  <c r="H23" i="12" s="1"/>
  <c r="L23" i="12" s="1"/>
  <c r="K18" i="10"/>
  <c r="E19" i="10"/>
  <c r="G19" i="10" s="1"/>
  <c r="K19" i="10" s="1"/>
  <c r="J23" i="12" l="1"/>
  <c r="F24" i="12"/>
  <c r="H24" i="12" s="1"/>
  <c r="L24" i="12" s="1"/>
  <c r="K23" i="12"/>
  <c r="E20" i="10"/>
  <c r="G20" i="10" s="1"/>
  <c r="K20" i="10" s="1"/>
  <c r="K24" i="12" l="1"/>
  <c r="F25" i="12"/>
  <c r="H25" i="12" s="1"/>
  <c r="L25" i="12" s="1"/>
  <c r="J24" i="12"/>
  <c r="E21" i="10"/>
  <c r="G21" i="10" s="1"/>
  <c r="K25" i="12" l="1"/>
  <c r="J25" i="12"/>
  <c r="F26" i="12"/>
  <c r="H26" i="12" s="1"/>
  <c r="L26" i="12" s="1"/>
  <c r="E22" i="10"/>
  <c r="G22" i="10" s="1"/>
  <c r="K21" i="10"/>
  <c r="F27" i="12" l="1"/>
  <c r="H27" i="12" s="1"/>
  <c r="L27" i="12" s="1"/>
  <c r="J26" i="12"/>
  <c r="K26" i="12"/>
  <c r="E23" i="10"/>
  <c r="G23" i="10" s="1"/>
  <c r="K22" i="10"/>
  <c r="F28" i="12" l="1"/>
  <c r="H28" i="12" s="1"/>
  <c r="L28" i="12" s="1"/>
  <c r="J27" i="12"/>
  <c r="K27" i="12"/>
  <c r="K23" i="10"/>
  <c r="E24" i="10"/>
  <c r="G24" i="10" s="1"/>
  <c r="K28" i="12" l="1"/>
  <c r="F29" i="12"/>
  <c r="H29" i="12" s="1"/>
  <c r="L29" i="12" s="1"/>
  <c r="J28" i="12"/>
  <c r="K24" i="10"/>
  <c r="E25" i="10"/>
  <c r="G25" i="10"/>
  <c r="J29" i="12" l="1"/>
  <c r="K29" i="12"/>
  <c r="F30" i="12"/>
  <c r="H30" i="12" s="1"/>
  <c r="L30" i="12" s="1"/>
  <c r="E26" i="10"/>
  <c r="G26" i="10" s="1"/>
  <c r="K25" i="10"/>
  <c r="F31" i="12" l="1"/>
  <c r="H31" i="12" s="1"/>
  <c r="L31" i="12" s="1"/>
  <c r="J30" i="12"/>
  <c r="K30" i="12"/>
  <c r="K26" i="10"/>
  <c r="E27" i="10"/>
  <c r="G27" i="10" s="1"/>
  <c r="J31" i="12" l="1"/>
  <c r="K31" i="12"/>
  <c r="K27" i="10"/>
  <c r="E28" i="10"/>
  <c r="G28" i="10"/>
  <c r="K28" i="10" s="1"/>
  <c r="E29" i="10" l="1"/>
  <c r="G29" i="10" s="1"/>
  <c r="K29" i="10" l="1"/>
  <c r="E30" i="10"/>
  <c r="G30" i="10" s="1"/>
  <c r="K30" i="10" s="1"/>
  <c r="E31" i="10" l="1"/>
  <c r="G31" i="10" s="1"/>
  <c r="K31" i="10" l="1"/>
  <c r="E32" i="10"/>
  <c r="G32" i="10"/>
  <c r="K32" i="10" s="1"/>
  <c r="E33" i="10" l="1"/>
  <c r="G33" i="10"/>
  <c r="K33" i="10" s="1"/>
  <c r="E34" i="10" l="1"/>
  <c r="G34" i="10" s="1"/>
  <c r="K34" i="10" l="1"/>
  <c r="E35" i="10"/>
  <c r="G35" i="10"/>
  <c r="K35" i="10" s="1"/>
  <c r="E36" i="10" l="1"/>
  <c r="G36" i="10"/>
  <c r="K36" i="10" s="1"/>
  <c r="E37" i="10" l="1"/>
  <c r="G37" i="10"/>
  <c r="K37" i="10" s="1"/>
  <c r="E38" i="10"/>
  <c r="G38" i="10" l="1"/>
  <c r="K38" i="10" s="1"/>
  <c r="E39" i="10" l="1"/>
  <c r="G39" i="10" s="1"/>
  <c r="K39" i="10" s="1"/>
</calcChain>
</file>

<file path=xl/sharedStrings.xml><?xml version="1.0" encoding="utf-8"?>
<sst xmlns="http://schemas.openxmlformats.org/spreadsheetml/2006/main" count="206" uniqueCount="167">
  <si>
    <t>生命保険</t>
    <rPh sb="0" eb="4">
      <t>セイメイホケン</t>
    </rPh>
    <phoneticPr fontId="2"/>
  </si>
  <si>
    <t>管理費</t>
    <rPh sb="0" eb="3">
      <t>カンリヒ</t>
    </rPh>
    <phoneticPr fontId="2"/>
  </si>
  <si>
    <t>電気</t>
    <rPh sb="0" eb="2">
      <t>デンキ</t>
    </rPh>
    <phoneticPr fontId="2"/>
  </si>
  <si>
    <t>スマホ</t>
    <phoneticPr fontId="2"/>
  </si>
  <si>
    <t>タイムズ</t>
    <phoneticPr fontId="2"/>
  </si>
  <si>
    <t>ガス</t>
    <phoneticPr fontId="2"/>
  </si>
  <si>
    <t>月給</t>
    <rPh sb="0" eb="2">
      <t>ゲッキュウ</t>
    </rPh>
    <phoneticPr fontId="2"/>
  </si>
  <si>
    <t>返済</t>
    <rPh sb="0" eb="2">
      <t>ヘンサイ</t>
    </rPh>
    <phoneticPr fontId="2"/>
  </si>
  <si>
    <t>カット</t>
    <phoneticPr fontId="2"/>
  </si>
  <si>
    <t>手付金</t>
    <rPh sb="0" eb="3">
      <t>テツケキン</t>
    </rPh>
    <phoneticPr fontId="2"/>
  </si>
  <si>
    <t>ゴミ10</t>
    <phoneticPr fontId="2"/>
  </si>
  <si>
    <t>ランコム</t>
    <phoneticPr fontId="2"/>
  </si>
  <si>
    <t>電球４</t>
    <rPh sb="0" eb="2">
      <t>デンキュウ</t>
    </rPh>
    <phoneticPr fontId="2"/>
  </si>
  <si>
    <t>無印</t>
    <rPh sb="0" eb="2">
      <t>ムジルシ</t>
    </rPh>
    <phoneticPr fontId="2"/>
  </si>
  <si>
    <t>テーブル</t>
    <phoneticPr fontId="2"/>
  </si>
  <si>
    <t>エディオン</t>
    <phoneticPr fontId="2"/>
  </si>
  <si>
    <t>ニトリ</t>
    <phoneticPr fontId="2"/>
  </si>
  <si>
    <t>LEDライト</t>
    <phoneticPr fontId="2"/>
  </si>
  <si>
    <t>グーグル</t>
    <phoneticPr fontId="2"/>
  </si>
  <si>
    <t>本棚</t>
    <rPh sb="0" eb="2">
      <t>ホンダナ</t>
    </rPh>
    <phoneticPr fontId="2"/>
  </si>
  <si>
    <t>エアコン東芝</t>
    <rPh sb="4" eb="6">
      <t>トウシバ</t>
    </rPh>
    <phoneticPr fontId="2"/>
  </si>
  <si>
    <t>クロス張り</t>
    <rPh sb="3" eb="4">
      <t>バ</t>
    </rPh>
    <phoneticPr fontId="2"/>
  </si>
  <si>
    <t>水回り清掃</t>
    <rPh sb="0" eb="2">
      <t>ミズマワ</t>
    </rPh>
    <rPh sb="3" eb="5">
      <t>セイソウ</t>
    </rPh>
    <phoneticPr fontId="2"/>
  </si>
  <si>
    <t>ロールカーテン</t>
    <phoneticPr fontId="2"/>
  </si>
  <si>
    <t>保証料金</t>
    <rPh sb="0" eb="4">
      <t>ホショウリョウキン</t>
    </rPh>
    <phoneticPr fontId="2"/>
  </si>
  <si>
    <t>登記、司法書士、手数料</t>
    <rPh sb="0" eb="2">
      <t>トウキ</t>
    </rPh>
    <rPh sb="3" eb="7">
      <t>シホウショシ</t>
    </rPh>
    <rPh sb="8" eb="11">
      <t>テスウリョウ</t>
    </rPh>
    <phoneticPr fontId="2"/>
  </si>
  <si>
    <t>不動産手数料</t>
    <rPh sb="0" eb="6">
      <t>フドウサンテスウリョウ</t>
    </rPh>
    <phoneticPr fontId="2"/>
  </si>
  <si>
    <t>医療</t>
    <rPh sb="0" eb="2">
      <t>イリョウ</t>
    </rPh>
    <phoneticPr fontId="2"/>
  </si>
  <si>
    <t>wifi</t>
    <phoneticPr fontId="2"/>
  </si>
  <si>
    <t>シャンプー</t>
    <phoneticPr fontId="2"/>
  </si>
  <si>
    <t>UPLINK</t>
    <phoneticPr fontId="2"/>
  </si>
  <si>
    <t>Wi-Fi中継器</t>
    <rPh sb="5" eb="8">
      <t>チュウケイキ</t>
    </rPh>
    <phoneticPr fontId="2"/>
  </si>
  <si>
    <t>ｍローン頭金</t>
    <rPh sb="4" eb="6">
      <t>アタマキン</t>
    </rPh>
    <phoneticPr fontId="2"/>
  </si>
  <si>
    <t>チェストベッド</t>
    <phoneticPr fontId="2"/>
  </si>
  <si>
    <t>ペンダントライト</t>
    <phoneticPr fontId="2"/>
  </si>
  <si>
    <t>タキズミ・L/LED</t>
    <phoneticPr fontId="2"/>
  </si>
  <si>
    <t>エアコンダイキン</t>
    <phoneticPr fontId="2"/>
  </si>
  <si>
    <t>金融系</t>
    <rPh sb="0" eb="3">
      <t>キンユウケイ</t>
    </rPh>
    <phoneticPr fontId="2"/>
  </si>
  <si>
    <t>入居前リフォーム</t>
    <rPh sb="0" eb="3">
      <t>ニュウキョマエ</t>
    </rPh>
    <phoneticPr fontId="2"/>
  </si>
  <si>
    <t>チェアー５個</t>
    <rPh sb="5" eb="6">
      <t>コ</t>
    </rPh>
    <phoneticPr fontId="2"/>
  </si>
  <si>
    <t>額面</t>
    <rPh sb="0" eb="2">
      <t>ガクメン</t>
    </rPh>
    <phoneticPr fontId="2"/>
  </si>
  <si>
    <t>A</t>
    <phoneticPr fontId="2"/>
  </si>
  <si>
    <t>控除１</t>
    <rPh sb="0" eb="2">
      <t>コウジョ</t>
    </rPh>
    <phoneticPr fontId="2"/>
  </si>
  <si>
    <t>課税所得額</t>
    <rPh sb="0" eb="4">
      <t>カゼイショトク</t>
    </rPh>
    <rPh sb="4" eb="5">
      <t>ガク</t>
    </rPh>
    <phoneticPr fontId="2"/>
  </si>
  <si>
    <t>課税率</t>
    <rPh sb="0" eb="3">
      <t>カゼイリツ</t>
    </rPh>
    <phoneticPr fontId="2"/>
  </si>
  <si>
    <t>B</t>
    <phoneticPr fontId="2"/>
  </si>
  <si>
    <t>所得税額</t>
    <rPh sb="0" eb="4">
      <t>ショトクゼイガク</t>
    </rPh>
    <phoneticPr fontId="2"/>
  </si>
  <si>
    <t>課税所得</t>
    <rPh sb="0" eb="4">
      <t>カゼイショトク</t>
    </rPh>
    <phoneticPr fontId="2"/>
  </si>
  <si>
    <t>給与比率</t>
    <rPh sb="0" eb="4">
      <t>キュウヨヒリツ</t>
    </rPh>
    <phoneticPr fontId="2"/>
  </si>
  <si>
    <t>ゴミ20</t>
    <phoneticPr fontId="2"/>
  </si>
  <si>
    <t>不動産取得税</t>
    <rPh sb="0" eb="6">
      <t>フドウサンシュトクゼイ</t>
    </rPh>
    <phoneticPr fontId="2"/>
  </si>
  <si>
    <t>ウエット</t>
    <phoneticPr fontId="2"/>
  </si>
  <si>
    <t>さくらぎ</t>
    <phoneticPr fontId="2"/>
  </si>
  <si>
    <t>残業代</t>
    <rPh sb="0" eb="3">
      <t>ザンギョウダイ</t>
    </rPh>
    <phoneticPr fontId="2"/>
  </si>
  <si>
    <t>手取り</t>
    <rPh sb="0" eb="2">
      <t>テド</t>
    </rPh>
    <phoneticPr fontId="2"/>
  </si>
  <si>
    <t>朝</t>
    <rPh sb="0" eb="1">
      <t>アサ</t>
    </rPh>
    <phoneticPr fontId="2"/>
  </si>
  <si>
    <t>昼</t>
    <rPh sb="0" eb="1">
      <t>ヒル</t>
    </rPh>
    <phoneticPr fontId="2"/>
  </si>
  <si>
    <t>年金早見表</t>
    <rPh sb="0" eb="5">
      <t>ネンキンハヤミヒョウ</t>
    </rPh>
    <phoneticPr fontId="2"/>
  </si>
  <si>
    <t xml:space="preserve">支給額 </t>
  </si>
  <si>
    <t xml:space="preserve">所得税 </t>
  </si>
  <si>
    <t xml:space="preserve">住民税 </t>
  </si>
  <si>
    <t xml:space="preserve">健康保険 </t>
  </si>
  <si>
    <t>老齢
基礎年金</t>
    <rPh sb="0" eb="2">
      <t>ロウレイ</t>
    </rPh>
    <rPh sb="3" eb="5">
      <t>キソ</t>
    </rPh>
    <rPh sb="5" eb="7">
      <t>ネンキン</t>
    </rPh>
    <phoneticPr fontId="2"/>
  </si>
  <si>
    <t>月額報酬
換算</t>
    <rPh sb="0" eb="2">
      <t>ゲツガク</t>
    </rPh>
    <rPh sb="2" eb="4">
      <t>ホウシュウ</t>
    </rPh>
    <rPh sb="5" eb="7">
      <t>カンサン</t>
    </rPh>
    <phoneticPr fontId="2"/>
  </si>
  <si>
    <t>レート</t>
    <phoneticPr fontId="2"/>
  </si>
  <si>
    <t>年金年間</t>
    <rPh sb="0" eb="2">
      <t>ネンキン</t>
    </rPh>
    <rPh sb="2" eb="4">
      <t>ネンカン</t>
    </rPh>
    <phoneticPr fontId="2"/>
  </si>
  <si>
    <t>老齢
厚生年金</t>
    <rPh sb="0" eb="2">
      <t>ロウレイ</t>
    </rPh>
    <rPh sb="3" eb="7">
      <t>コウセイネンキン</t>
    </rPh>
    <phoneticPr fontId="2"/>
  </si>
  <si>
    <t>月額換算</t>
    <rPh sb="0" eb="4">
      <t>ゲツガクカンサン</t>
    </rPh>
    <phoneticPr fontId="2"/>
  </si>
  <si>
    <t>控除２</t>
    <rPh sb="0" eb="2">
      <t>コウジョ</t>
    </rPh>
    <phoneticPr fontId="2"/>
  </si>
  <si>
    <t>控除合計</t>
    <rPh sb="0" eb="4">
      <t>コウジョゴウケイ</t>
    </rPh>
    <phoneticPr fontId="2"/>
  </si>
  <si>
    <t>控除</t>
    <rPh sb="0" eb="2">
      <t>コウジョ</t>
    </rPh>
    <phoneticPr fontId="2"/>
  </si>
  <si>
    <t>畳はりかえ</t>
    <rPh sb="0" eb="1">
      <t>タタミ</t>
    </rPh>
    <phoneticPr fontId="2"/>
  </si>
  <si>
    <t>家具・収納・電気・家電・必需品</t>
    <rPh sb="0" eb="2">
      <t>カグ</t>
    </rPh>
    <rPh sb="3" eb="5">
      <t>シュウノウ</t>
    </rPh>
    <rPh sb="12" eb="15">
      <t>ヒツジュヒン</t>
    </rPh>
    <phoneticPr fontId="2"/>
  </si>
  <si>
    <t>アクタス</t>
    <phoneticPr fontId="2"/>
  </si>
  <si>
    <t>合計</t>
    <rPh sb="0" eb="2">
      <t>ゴウケイ</t>
    </rPh>
    <phoneticPr fontId="2"/>
  </si>
  <si>
    <t>自己資本</t>
    <rPh sb="0" eb="4">
      <t>ジコシホン</t>
    </rPh>
    <phoneticPr fontId="2"/>
  </si>
  <si>
    <t>貯蓄</t>
    <rPh sb="0" eb="2">
      <t>チョチク</t>
    </rPh>
    <phoneticPr fontId="2"/>
  </si>
  <si>
    <t>年始</t>
    <rPh sb="0" eb="2">
      <t>ネンシ</t>
    </rPh>
    <phoneticPr fontId="2"/>
  </si>
  <si>
    <t>経過</t>
    <rPh sb="0" eb="2">
      <t>ケイカ</t>
    </rPh>
    <phoneticPr fontId="2"/>
  </si>
  <si>
    <t>年末</t>
    <rPh sb="0" eb="2">
      <t>ネンマツ</t>
    </rPh>
    <phoneticPr fontId="2"/>
  </si>
  <si>
    <t>毎年利益</t>
    <rPh sb="0" eb="4">
      <t>マイトシリエキ</t>
    </rPh>
    <phoneticPr fontId="2"/>
  </si>
  <si>
    <t>二カ月毎</t>
    <rPh sb="0" eb="1">
      <t>ニ</t>
    </rPh>
    <rPh sb="3" eb="4">
      <t>ゴト</t>
    </rPh>
    <phoneticPr fontId="2"/>
  </si>
  <si>
    <t>年間手取り</t>
    <rPh sb="0" eb="2">
      <t>ネンカン</t>
    </rPh>
    <rPh sb="2" eb="4">
      <t>テド</t>
    </rPh>
    <phoneticPr fontId="2"/>
  </si>
  <si>
    <t>固定資産</t>
    <rPh sb="0" eb="4">
      <t>コテイシサン</t>
    </rPh>
    <phoneticPr fontId="2"/>
  </si>
  <si>
    <t>積立</t>
    <rPh sb="0" eb="2">
      <t>ツミタテ</t>
    </rPh>
    <phoneticPr fontId="2"/>
  </si>
  <si>
    <t>年間金利</t>
    <rPh sb="0" eb="4">
      <t>ネンカンキンリ</t>
    </rPh>
    <phoneticPr fontId="2"/>
  </si>
  <si>
    <t>生命コープ</t>
    <phoneticPr fontId="2"/>
  </si>
  <si>
    <t>1330344  =tkymcoop= Takecop1</t>
  </si>
  <si>
    <t>指定席★60961004　Take2.yama</t>
  </si>
  <si>
    <t>投票★6302あ2981　7641-1972</t>
  </si>
  <si>
    <t>netkeiba= takeiba2　　JRA=Take2jra</t>
  </si>
  <si>
    <t>趣味</t>
    <rPh sb="0" eb="2">
      <t>シュミ</t>
    </rPh>
    <phoneticPr fontId="2"/>
  </si>
  <si>
    <t>チョコザップ</t>
  </si>
  <si>
    <t>MERCARI</t>
  </si>
  <si>
    <t>MOS</t>
  </si>
  <si>
    <t>リコラ　</t>
  </si>
  <si>
    <t>ワタシアター　</t>
    <phoneticPr fontId="2"/>
  </si>
  <si>
    <t>skytmt1 </t>
  </si>
  <si>
    <t>take2haku</t>
    <phoneticPr fontId="2"/>
  </si>
  <si>
    <t>take2yama　</t>
    <phoneticPr fontId="2"/>
  </si>
  <si>
    <t>take1haku　</t>
    <phoneticPr fontId="2"/>
  </si>
  <si>
    <t>Wi-Fi</t>
  </si>
  <si>
    <t>take2.haku　</t>
  </si>
  <si>
    <t>amazon</t>
  </si>
  <si>
    <t> skytmt.1</t>
  </si>
  <si>
    <t>line</t>
  </si>
  <si>
    <t xml:space="preserve">skytmt.1 </t>
  </si>
  <si>
    <t>instag ram</t>
  </si>
  <si>
    <t>skytmt1</t>
  </si>
  <si>
    <t xml:space="preserve">takeraku.10 </t>
  </si>
  <si>
    <t>大阪ガス　</t>
    <phoneticPr fontId="2"/>
  </si>
  <si>
    <t>Tokaitomato.1</t>
  </si>
  <si>
    <t>5489wester　087326619712　take2haku</t>
  </si>
  <si>
    <t>expres==takesmax　 2246278238</t>
  </si>
  <si>
    <t>0011-336778  Take2.haku</t>
  </si>
  <si>
    <t>0030992956  Take2.time</t>
  </si>
  <si>
    <t>azume-chuo-gkin   ＝Take2.chon   2536</t>
    <phoneticPr fontId="2"/>
  </si>
  <si>
    <t>Take2.haku　paypay</t>
    <phoneticPr fontId="2"/>
  </si>
  <si>
    <t>take2my</t>
  </si>
  <si>
    <t>健康</t>
    <rPh sb="0" eb="2">
      <t>ケンコウ</t>
    </rPh>
    <phoneticPr fontId="2"/>
  </si>
  <si>
    <t>銀行</t>
    <rPh sb="0" eb="2">
      <t>ギンコウ</t>
    </rPh>
    <phoneticPr fontId="2"/>
  </si>
  <si>
    <t>電鉄</t>
    <rPh sb="0" eb="2">
      <t>デンテツ</t>
    </rPh>
    <phoneticPr fontId="2"/>
  </si>
  <si>
    <t>JRA</t>
    <phoneticPr fontId="2"/>
  </si>
  <si>
    <t>MobileY</t>
    <phoneticPr fontId="2"/>
  </si>
  <si>
    <t>Google</t>
    <phoneticPr fontId="2"/>
  </si>
  <si>
    <t>device</t>
    <phoneticPr fontId="2"/>
  </si>
  <si>
    <t>time</t>
    <phoneticPr fontId="2"/>
  </si>
  <si>
    <t>たけふぃなテンツー</t>
    <phoneticPr fontId="2"/>
  </si>
  <si>
    <t>MUPDM81368 署名Tksymt2 </t>
    <phoneticPr fontId="2"/>
  </si>
  <si>
    <t>収支</t>
    <rPh sb="0" eb="2">
      <t>シュウシ</t>
    </rPh>
    <phoneticPr fontId="2"/>
  </si>
  <si>
    <t>残高</t>
    <rPh sb="0" eb="2">
      <t>ザンダカ</t>
    </rPh>
    <phoneticPr fontId="2"/>
  </si>
  <si>
    <t>ラック/シェルフ</t>
    <phoneticPr fontId="2"/>
  </si>
  <si>
    <t>掃除用具/消耗品</t>
    <rPh sb="0" eb="2">
      <t>ソウジ</t>
    </rPh>
    <rPh sb="2" eb="4">
      <t>ヨウグ</t>
    </rPh>
    <rPh sb="5" eb="7">
      <t>ショウモウ</t>
    </rPh>
    <rPh sb="7" eb="8">
      <t>ヒン</t>
    </rPh>
    <phoneticPr fontId="2"/>
  </si>
  <si>
    <t>シーツ/マット/まくら</t>
    <phoneticPr fontId="2"/>
  </si>
  <si>
    <t>マイナ7641　</t>
    <phoneticPr fontId="2"/>
  </si>
  <si>
    <t>Take2.yell</t>
    <phoneticPr fontId="2"/>
  </si>
  <si>
    <t>YELL</t>
    <phoneticPr fontId="2"/>
  </si>
  <si>
    <t>年末残高</t>
    <rPh sb="0" eb="4">
      <t>ネンマツザンダカ</t>
    </rPh>
    <phoneticPr fontId="2"/>
  </si>
  <si>
    <t>他コスト</t>
    <rPh sb="0" eb="1">
      <t>ホカ</t>
    </rPh>
    <phoneticPr fontId="2"/>
  </si>
  <si>
    <t>支払い残高</t>
    <rPh sb="0" eb="2">
      <t>シハラ</t>
    </rPh>
    <rPh sb="3" eb="5">
      <t>ザンダカ</t>
    </rPh>
    <phoneticPr fontId="2"/>
  </si>
  <si>
    <t>増資</t>
    <rPh sb="0" eb="2">
      <t>ゾウシ</t>
    </rPh>
    <phoneticPr fontId="2"/>
  </si>
  <si>
    <t>貯蓄のみ</t>
    <rPh sb="0" eb="2">
      <t>チョチク</t>
    </rPh>
    <phoneticPr fontId="2"/>
  </si>
  <si>
    <t>総利益</t>
    <rPh sb="0" eb="3">
      <t>ソウリエキ</t>
    </rPh>
    <phoneticPr fontId="2"/>
  </si>
  <si>
    <t>投資利益率</t>
    <rPh sb="0" eb="5">
      <t>トウシリエキリツ</t>
    </rPh>
    <phoneticPr fontId="2"/>
  </si>
  <si>
    <t>風呂トイレquick</t>
    <rPh sb="0" eb="2">
      <t>フロ</t>
    </rPh>
    <phoneticPr fontId="2"/>
  </si>
  <si>
    <t>洗剤柔軟剤</t>
    <rPh sb="0" eb="5">
      <t>センザイジュウナンザイ</t>
    </rPh>
    <phoneticPr fontId="2"/>
  </si>
  <si>
    <t>Wi-Fi+警報</t>
    <rPh sb="6" eb="8">
      <t>ケイホウ</t>
    </rPh>
    <phoneticPr fontId="2"/>
  </si>
  <si>
    <t>駐輪場</t>
    <rPh sb="0" eb="3">
      <t>チュウリンジョウ</t>
    </rPh>
    <phoneticPr fontId="2"/>
  </si>
  <si>
    <t>チョコザップ</t>
    <phoneticPr fontId="2"/>
  </si>
  <si>
    <t>Amazonprime</t>
    <phoneticPr fontId="2"/>
  </si>
  <si>
    <t>Downtown++</t>
    <phoneticPr fontId="2"/>
  </si>
  <si>
    <t>Spotify</t>
    <phoneticPr fontId="2"/>
  </si>
  <si>
    <t>支出合計</t>
    <rPh sb="0" eb="4">
      <t>シシュツゴウケイ</t>
    </rPh>
    <phoneticPr fontId="2"/>
  </si>
  <si>
    <t>コシヒカリ</t>
    <phoneticPr fontId="2"/>
  </si>
  <si>
    <t>外食費</t>
    <rPh sb="0" eb="3">
      <t>ガイショクヒ</t>
    </rPh>
    <phoneticPr fontId="2"/>
  </si>
  <si>
    <t>ピラティス</t>
    <phoneticPr fontId="2"/>
  </si>
  <si>
    <t>株主配当</t>
    <rPh sb="0" eb="4">
      <t>カブヌシハイトウ</t>
    </rPh>
    <phoneticPr fontId="2"/>
  </si>
  <si>
    <t>電気ガス水道</t>
    <rPh sb="0" eb="2">
      <t>デンキ</t>
    </rPh>
    <rPh sb="4" eb="6">
      <t>スイドウ</t>
    </rPh>
    <phoneticPr fontId="2"/>
  </si>
  <si>
    <t>ＫＬバスティシュ</t>
    <phoneticPr fontId="2"/>
  </si>
  <si>
    <t>その他コスト</t>
    <rPh sb="2" eb="3">
      <t>タ</t>
    </rPh>
    <phoneticPr fontId="2"/>
  </si>
  <si>
    <t>生活諸経費</t>
    <rPh sb="0" eb="2">
      <t>セイカツ</t>
    </rPh>
    <rPh sb="2" eb="5">
      <t>ショケイヒ</t>
    </rPh>
    <phoneticPr fontId="2"/>
  </si>
  <si>
    <t>修繕積立/管理費</t>
    <rPh sb="0" eb="2">
      <t>シュウゼン</t>
    </rPh>
    <rPh sb="2" eb="4">
      <t>ツミタテ</t>
    </rPh>
    <rPh sb="5" eb="8">
      <t>カンリヒ</t>
    </rPh>
    <phoneticPr fontId="2"/>
  </si>
  <si>
    <t>固定費</t>
    <rPh sb="0" eb="3">
      <t>コテイヒ</t>
    </rPh>
    <phoneticPr fontId="2"/>
  </si>
  <si>
    <t>食材費</t>
    <rPh sb="0" eb="3">
      <t>ショクザイヒ</t>
    </rPh>
    <phoneticPr fontId="2"/>
  </si>
  <si>
    <t>自然派コープ</t>
    <rPh sb="0" eb="3">
      <t>シゼンハ</t>
    </rPh>
    <phoneticPr fontId="2"/>
  </si>
  <si>
    <t>医療健康衛生</t>
    <rPh sb="0" eb="2">
      <t>イリョウ</t>
    </rPh>
    <rPh sb="2" eb="4">
      <t>ケンコウ</t>
    </rPh>
    <rPh sb="4" eb="6">
      <t>エイセイ</t>
    </rPh>
    <phoneticPr fontId="2"/>
  </si>
  <si>
    <t>朝昼代</t>
    <rPh sb="0" eb="3">
      <t>アサヒルダイ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</si>
</sst>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BIZ UDゴシック"/>
      <family val="3"/>
      <charset val="128"/>
    </font>
    <font>
      <sz val="11"/>
      <color theme="1"/>
      <name val="BIZ UDゴシック"/>
      <family val="3"/>
      <charset val="128"/>
    </font>
    <font>
      <sz val="8"/>
      <color theme="1"/>
      <name val="BIZ UDゴシック"/>
      <family val="3"/>
      <charset val="128"/>
    </font>
    <font>
      <sz val="8"/>
      <name val="BIZ UDゴシック"/>
      <family val="3"/>
      <charset val="128"/>
    </font>
    <font>
      <sz val="9"/>
      <color rgb="FFFF0000"/>
      <name val="BIZ UD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b/>
      <sz val="9"/>
      <color theme="1"/>
      <name val="BIZ UDゴシック"/>
      <family val="3"/>
      <charset val="128"/>
    </font>
    <font>
      <sz val="10"/>
      <color theme="1"/>
      <name val="BIZ UDゴシック"/>
      <family val="3"/>
      <charset val="128"/>
    </font>
    <font>
      <sz val="9"/>
      <color theme="1"/>
      <name val="HGPｺﾞｼｯｸE"/>
      <family val="3"/>
      <charset val="128"/>
    </font>
    <font>
      <b/>
      <sz val="9"/>
      <color theme="4"/>
      <name val="BIZ UDゴシック"/>
      <family val="3"/>
      <charset val="128"/>
    </font>
    <font>
      <b/>
      <sz val="8"/>
      <name val="BIZ UDゴシック"/>
      <family val="3"/>
      <charset val="128"/>
    </font>
    <font>
      <sz val="8"/>
      <color theme="1"/>
      <name val="游ゴシック"/>
      <family val="3"/>
      <charset val="128"/>
      <scheme val="minor"/>
    </font>
    <font>
      <sz val="11"/>
      <color theme="1"/>
      <name val="HGPｺﾞｼｯｸE"/>
      <family val="3"/>
      <charset val="128"/>
    </font>
    <font>
      <sz val="8"/>
      <color theme="1"/>
      <name val="HGPｺﾞｼｯｸE"/>
      <family val="3"/>
      <charset val="128"/>
    </font>
    <font>
      <sz val="11"/>
      <color rgb="FF000000"/>
      <name val="Google Sans Text"/>
      <family val="2"/>
    </font>
    <font>
      <sz val="10"/>
      <color theme="1"/>
      <name val="HGPｺﾞｼｯｸE"/>
      <family val="3"/>
      <charset val="128"/>
    </font>
    <font>
      <sz val="11"/>
      <color theme="1"/>
      <name val="HGSｺﾞｼｯｸE"/>
      <family val="3"/>
      <charset val="128"/>
    </font>
    <font>
      <sz val="9"/>
      <color theme="1"/>
      <name val="HGSｺﾞｼｯｸE"/>
      <family val="3"/>
      <charset val="128"/>
    </font>
    <font>
      <sz val="9"/>
      <color rgb="FF9C0006"/>
      <name val="HGSｺﾞｼｯｸE"/>
      <family val="3"/>
      <charset val="128"/>
    </font>
    <font>
      <sz val="9"/>
      <name val="HGSｺﾞｼｯｸE"/>
      <family val="3"/>
      <charset val="128"/>
    </font>
    <font>
      <sz val="9"/>
      <color rgb="FFFF0000"/>
      <name val="HGSｺﾞｼｯｸE"/>
      <family val="3"/>
      <charset val="128"/>
    </font>
    <font>
      <sz val="9"/>
      <color rgb="FF9C5700"/>
      <name val="HGSｺﾞｼｯｸE"/>
      <family val="3"/>
      <charset val="128"/>
    </font>
    <font>
      <sz val="10"/>
      <color theme="1"/>
      <name val="HGSｺﾞｼｯｸE"/>
      <family val="3"/>
      <charset val="128"/>
    </font>
    <font>
      <sz val="11"/>
      <color rgb="FF000000"/>
      <name val="HGPｺﾞｼｯｸE"/>
      <family val="3"/>
      <charset val="128"/>
    </font>
    <font>
      <b/>
      <sz val="9"/>
      <color theme="1"/>
      <name val="游ゴシック"/>
      <family val="3"/>
      <charset val="128"/>
      <scheme val="minor"/>
    </font>
    <font>
      <b/>
      <sz val="8"/>
      <color theme="1"/>
      <name val="BIZ UDゴシック"/>
      <family val="3"/>
      <charset val="128"/>
    </font>
    <font>
      <b/>
      <sz val="8"/>
      <color rgb="FF00B0F0"/>
      <name val="BIZ UDゴシック"/>
      <family val="3"/>
      <charset val="128"/>
    </font>
    <font>
      <b/>
      <sz val="10"/>
      <color theme="1"/>
      <name val="BIZ UDゴシック"/>
      <family val="3"/>
      <charset val="128"/>
    </font>
    <font>
      <b/>
      <sz val="10"/>
      <color rgb="FFFF0000"/>
      <name val="BIZ UDゴシック"/>
      <family val="3"/>
      <charset val="128"/>
    </font>
    <font>
      <sz val="8"/>
      <color theme="0" tint="-0.34998626667073579"/>
      <name val="BIZ UDゴシック"/>
      <family val="3"/>
      <charset val="128"/>
    </font>
    <font>
      <b/>
      <sz val="11"/>
      <color theme="1"/>
      <name val="BIZ UDゴシック"/>
      <family val="3"/>
      <charset val="128"/>
    </font>
    <font>
      <sz val="11"/>
      <name val="BIZ UDゴシック"/>
      <family val="3"/>
      <charset val="128"/>
    </font>
    <font>
      <b/>
      <sz val="10"/>
      <color theme="4"/>
      <name val="BIZ UD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2" borderId="2" applyNumberFormat="0" applyFont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</cellStyleXfs>
  <cellXfs count="112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3" fillId="0" borderId="1" xfId="0" applyFont="1" applyBorder="1">
      <alignment vertical="center"/>
    </xf>
    <xf numFmtId="38" fontId="3" fillId="0" borderId="1" xfId="1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76" fontId="0" fillId="0" borderId="1" xfId="2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3" fillId="0" borderId="1" xfId="0" applyFont="1" applyBorder="1" applyAlignment="1">
      <alignment vertical="center" wrapText="1"/>
    </xf>
    <xf numFmtId="0" fontId="11" fillId="0" borderId="1" xfId="0" applyFont="1" applyBorder="1" applyAlignment="1">
      <alignment horizontal="right" vertical="center" wrapText="1"/>
    </xf>
    <xf numFmtId="38" fontId="3" fillId="0" borderId="1" xfId="0" applyNumberFormat="1" applyFont="1" applyBorder="1">
      <alignment vertical="center"/>
    </xf>
    <xf numFmtId="3" fontId="3" fillId="0" borderId="1" xfId="0" applyNumberFormat="1" applyFont="1" applyBorder="1" applyAlignment="1">
      <alignment horizontal="right" vertical="center" wrapText="1"/>
    </xf>
    <xf numFmtId="38" fontId="3" fillId="0" borderId="1" xfId="1" applyFont="1" applyBorder="1" applyAlignment="1">
      <alignment horizontal="right" vertical="center" wrapText="1"/>
    </xf>
    <xf numFmtId="0" fontId="7" fillId="0" borderId="1" xfId="0" applyFont="1" applyBorder="1">
      <alignment vertical="center"/>
    </xf>
    <xf numFmtId="38" fontId="7" fillId="0" borderId="1" xfId="0" applyNumberFormat="1" applyFont="1" applyBorder="1">
      <alignment vertical="center"/>
    </xf>
    <xf numFmtId="0" fontId="13" fillId="0" borderId="0" xfId="0" applyFont="1">
      <alignment vertical="center"/>
    </xf>
    <xf numFmtId="38" fontId="13" fillId="0" borderId="0" xfId="0" applyNumberFormat="1" applyFont="1">
      <alignment vertical="center"/>
    </xf>
    <xf numFmtId="0" fontId="12" fillId="0" borderId="0" xfId="0" applyFont="1">
      <alignment vertical="center"/>
    </xf>
    <xf numFmtId="9" fontId="3" fillId="0" borderId="0" xfId="2" applyFont="1">
      <alignment vertical="center"/>
    </xf>
    <xf numFmtId="1" fontId="3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38" fontId="14" fillId="0" borderId="1" xfId="1" applyFont="1" applyBorder="1" applyAlignment="1">
      <alignment horizontal="center"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8" fillId="0" borderId="0" xfId="0" applyFont="1">
      <alignment vertical="center"/>
    </xf>
    <xf numFmtId="0" fontId="18" fillId="0" borderId="0" xfId="0" applyFont="1" applyAlignment="1">
      <alignment horizontal="center" vertical="center"/>
    </xf>
    <xf numFmtId="10" fontId="18" fillId="0" borderId="0" xfId="2" applyNumberFormat="1" applyFont="1" applyAlignment="1">
      <alignment horizontal="center" vertical="center"/>
    </xf>
    <xf numFmtId="38" fontId="13" fillId="0" borderId="0" xfId="1" applyFont="1">
      <alignment vertical="center"/>
    </xf>
    <xf numFmtId="0" fontId="19" fillId="0" borderId="0" xfId="0" applyFont="1">
      <alignment vertical="center"/>
    </xf>
    <xf numFmtId="0" fontId="21" fillId="0" borderId="0" xfId="0" applyFont="1">
      <alignment vertical="center"/>
    </xf>
    <xf numFmtId="0" fontId="22" fillId="0" borderId="0" xfId="0" applyFont="1">
      <alignment vertical="center"/>
    </xf>
    <xf numFmtId="0" fontId="23" fillId="3" borderId="0" xfId="4" applyFont="1">
      <alignment vertical="center"/>
    </xf>
    <xf numFmtId="0" fontId="24" fillId="0" borderId="1" xfId="0" applyFont="1" applyBorder="1">
      <alignment vertical="center"/>
    </xf>
    <xf numFmtId="38" fontId="24" fillId="0" borderId="1" xfId="1" applyFont="1" applyFill="1" applyBorder="1">
      <alignment vertical="center"/>
    </xf>
    <xf numFmtId="0" fontId="22" fillId="0" borderId="1" xfId="0" applyFont="1" applyBorder="1">
      <alignment vertical="center"/>
    </xf>
    <xf numFmtId="38" fontId="22" fillId="0" borderId="1" xfId="1" applyFont="1" applyFill="1" applyBorder="1">
      <alignment vertical="center"/>
    </xf>
    <xf numFmtId="38" fontId="25" fillId="0" borderId="0" xfId="1" applyFont="1" applyFill="1" applyBorder="1">
      <alignment vertical="center"/>
    </xf>
    <xf numFmtId="0" fontId="25" fillId="0" borderId="0" xfId="0" applyFont="1">
      <alignment vertical="center"/>
    </xf>
    <xf numFmtId="0" fontId="26" fillId="4" borderId="0" xfId="5" applyFont="1">
      <alignment vertical="center"/>
    </xf>
    <xf numFmtId="56" fontId="22" fillId="0" borderId="1" xfId="0" applyNumberFormat="1" applyFont="1" applyBorder="1" applyAlignment="1">
      <alignment horizontal="left" vertical="center"/>
    </xf>
    <xf numFmtId="38" fontId="22" fillId="0" borderId="1" xfId="1" applyFont="1" applyFill="1" applyBorder="1" applyAlignment="1">
      <alignment horizontal="right" vertical="center"/>
    </xf>
    <xf numFmtId="38" fontId="22" fillId="0" borderId="0" xfId="0" applyNumberFormat="1" applyFont="1">
      <alignment vertical="center"/>
    </xf>
    <xf numFmtId="0" fontId="27" fillId="0" borderId="0" xfId="0" applyFont="1">
      <alignment vertical="center"/>
    </xf>
    <xf numFmtId="38" fontId="22" fillId="0" borderId="1" xfId="1" applyFont="1" applyBorder="1">
      <alignment vertical="center"/>
    </xf>
    <xf numFmtId="38" fontId="27" fillId="0" borderId="0" xfId="0" applyNumberFormat="1" applyFont="1">
      <alignment vertical="center"/>
    </xf>
    <xf numFmtId="38" fontId="21" fillId="0" borderId="0" xfId="0" applyNumberFormat="1" applyFont="1">
      <alignment vertical="center"/>
    </xf>
    <xf numFmtId="38" fontId="22" fillId="0" borderId="0" xfId="1" applyFont="1">
      <alignment vertical="center"/>
    </xf>
    <xf numFmtId="0" fontId="28" fillId="0" borderId="0" xfId="0" applyFont="1">
      <alignment vertical="center"/>
    </xf>
    <xf numFmtId="38" fontId="29" fillId="0" borderId="3" xfId="1" applyFont="1" applyBorder="1">
      <alignment vertical="center"/>
    </xf>
    <xf numFmtId="38" fontId="18" fillId="0" borderId="0" xfId="0" applyNumberFormat="1" applyFont="1">
      <alignment vertical="center"/>
    </xf>
    <xf numFmtId="0" fontId="20" fillId="0" borderId="0" xfId="0" applyFont="1">
      <alignment vertical="center"/>
    </xf>
    <xf numFmtId="38" fontId="17" fillId="0" borderId="0" xfId="0" applyNumberFormat="1" applyFont="1">
      <alignment vertical="center"/>
    </xf>
    <xf numFmtId="38" fontId="3" fillId="0" borderId="0" xfId="1" applyFont="1">
      <alignment vertical="center"/>
    </xf>
    <xf numFmtId="9" fontId="0" fillId="0" borderId="0" xfId="2" applyFont="1">
      <alignment vertical="center"/>
    </xf>
    <xf numFmtId="0" fontId="5" fillId="0" borderId="0" xfId="0" applyFont="1" applyAlignment="1">
      <alignment horizontal="right" vertical="center"/>
    </xf>
    <xf numFmtId="38" fontId="5" fillId="0" borderId="0" xfId="1" applyFont="1" applyAlignment="1">
      <alignment horizontal="right" vertical="center"/>
    </xf>
    <xf numFmtId="38" fontId="5" fillId="0" borderId="0" xfId="1" applyFont="1" applyFill="1" applyBorder="1" applyAlignment="1">
      <alignment horizontal="right" vertical="center"/>
    </xf>
    <xf numFmtId="38" fontId="15" fillId="0" borderId="0" xfId="1" applyFont="1" applyFill="1" applyBorder="1" applyAlignment="1">
      <alignment horizontal="right" vertical="center"/>
    </xf>
    <xf numFmtId="38" fontId="30" fillId="0" borderId="0" xfId="1" applyFont="1" applyFill="1" applyBorder="1" applyAlignment="1">
      <alignment horizontal="right" vertical="center"/>
    </xf>
    <xf numFmtId="9" fontId="30" fillId="0" borderId="0" xfId="0" applyNumberFormat="1" applyFont="1" applyAlignment="1">
      <alignment horizontal="right" vertical="center"/>
    </xf>
    <xf numFmtId="38" fontId="31" fillId="0" borderId="0" xfId="1" applyFont="1" applyFill="1" applyBorder="1" applyAlignment="1">
      <alignment horizontal="right" vertical="center"/>
    </xf>
    <xf numFmtId="0" fontId="30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5" fillId="0" borderId="0" xfId="3" applyFont="1" applyFill="1" applyBorder="1" applyAlignment="1">
      <alignment horizontal="right" vertical="center"/>
    </xf>
    <xf numFmtId="38" fontId="5" fillId="0" borderId="0" xfId="1" applyFont="1" applyBorder="1" applyAlignment="1">
      <alignment horizontal="right" vertical="center"/>
    </xf>
    <xf numFmtId="38" fontId="6" fillId="0" borderId="0" xfId="1" applyFont="1" applyFill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32" fillId="0" borderId="0" xfId="0" applyFont="1">
      <alignment vertical="center"/>
    </xf>
    <xf numFmtId="38" fontId="32" fillId="0" borderId="0" xfId="0" applyNumberFormat="1" applyFont="1">
      <alignment vertical="center"/>
    </xf>
    <xf numFmtId="0" fontId="32" fillId="0" borderId="0" xfId="0" applyFont="1" applyAlignment="1">
      <alignment horizontal="right" vertical="center"/>
    </xf>
    <xf numFmtId="0" fontId="33" fillId="0" borderId="0" xfId="0" applyFont="1" applyAlignment="1">
      <alignment horizontal="right" vertical="center"/>
    </xf>
    <xf numFmtId="38" fontId="33" fillId="0" borderId="0" xfId="1" applyFont="1" applyFill="1" applyBorder="1" applyAlignment="1">
      <alignment horizontal="right" vertical="center"/>
    </xf>
    <xf numFmtId="0" fontId="33" fillId="0" borderId="0" xfId="0" applyFont="1">
      <alignment vertical="center"/>
    </xf>
    <xf numFmtId="38" fontId="33" fillId="0" borderId="0" xfId="0" applyNumberFormat="1" applyFont="1">
      <alignment vertical="center"/>
    </xf>
    <xf numFmtId="38" fontId="5" fillId="0" borderId="0" xfId="1" applyFont="1">
      <alignment vertical="center"/>
    </xf>
    <xf numFmtId="38" fontId="5" fillId="0" borderId="0" xfId="0" applyNumberFormat="1" applyFont="1">
      <alignment vertical="center"/>
    </xf>
    <xf numFmtId="0" fontId="5" fillId="7" borderId="0" xfId="3" applyFont="1" applyFill="1" applyBorder="1" applyAlignment="1">
      <alignment horizontal="right" vertical="center"/>
    </xf>
    <xf numFmtId="38" fontId="5" fillId="7" borderId="0" xfId="1" applyFont="1" applyFill="1" applyBorder="1" applyAlignment="1">
      <alignment horizontal="right" vertical="center"/>
    </xf>
    <xf numFmtId="0" fontId="5" fillId="7" borderId="0" xfId="0" applyFont="1" applyFill="1" applyAlignment="1">
      <alignment horizontal="right" vertical="center"/>
    </xf>
    <xf numFmtId="0" fontId="6" fillId="8" borderId="0" xfId="6" applyFont="1" applyFill="1" applyBorder="1" applyAlignment="1">
      <alignment horizontal="right" vertical="center"/>
    </xf>
    <xf numFmtId="38" fontId="6" fillId="8" borderId="0" xfId="1" applyFont="1" applyFill="1" applyBorder="1" applyAlignment="1">
      <alignment horizontal="right" vertical="center"/>
    </xf>
    <xf numFmtId="0" fontId="6" fillId="8" borderId="0" xfId="0" applyFont="1" applyFill="1" applyAlignment="1">
      <alignment horizontal="right" vertical="center"/>
    </xf>
    <xf numFmtId="38" fontId="5" fillId="8" borderId="0" xfId="1" applyFont="1" applyFill="1" applyBorder="1" applyAlignment="1">
      <alignment horizontal="right" vertical="center"/>
    </xf>
    <xf numFmtId="0" fontId="5" fillId="8" borderId="0" xfId="0" applyFont="1" applyFill="1" applyAlignment="1">
      <alignment horizontal="right" vertical="center"/>
    </xf>
    <xf numFmtId="38" fontId="30" fillId="0" borderId="0" xfId="1" applyFont="1">
      <alignment vertical="center"/>
    </xf>
    <xf numFmtId="0" fontId="30" fillId="0" borderId="0" xfId="0" applyFont="1">
      <alignment vertical="center"/>
    </xf>
    <xf numFmtId="0" fontId="34" fillId="0" borderId="0" xfId="0" applyFont="1" applyAlignment="1">
      <alignment horizontal="right" vertical="center"/>
    </xf>
    <xf numFmtId="38" fontId="34" fillId="0" borderId="0" xfId="1" applyFont="1" applyFill="1" applyBorder="1" applyAlignment="1">
      <alignment horizontal="right" vertical="center"/>
    </xf>
    <xf numFmtId="38" fontId="34" fillId="0" borderId="0" xfId="1" applyFont="1" applyFill="1">
      <alignment vertical="center"/>
    </xf>
    <xf numFmtId="176" fontId="34" fillId="0" borderId="0" xfId="0" applyNumberFormat="1" applyFont="1">
      <alignment vertical="center"/>
    </xf>
    <xf numFmtId="38" fontId="32" fillId="0" borderId="0" xfId="1" applyFont="1" applyFill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38" fontId="4" fillId="0" borderId="0" xfId="1" applyFont="1" applyFill="1" applyBorder="1" applyAlignment="1">
      <alignment horizontal="right" vertical="center"/>
    </xf>
    <xf numFmtId="0" fontId="36" fillId="0" borderId="0" xfId="0" applyFont="1" applyAlignment="1">
      <alignment horizontal="right" vertical="center"/>
    </xf>
    <xf numFmtId="38" fontId="30" fillId="0" borderId="1" xfId="1" applyFont="1" applyFill="1" applyBorder="1" applyAlignment="1">
      <alignment horizontal="right" vertical="center"/>
    </xf>
    <xf numFmtId="9" fontId="30" fillId="0" borderId="1" xfId="0" applyNumberFormat="1" applyFont="1" applyBorder="1" applyAlignment="1">
      <alignment horizontal="right" vertical="center"/>
    </xf>
    <xf numFmtId="38" fontId="31" fillId="0" borderId="1" xfId="1" applyFont="1" applyFill="1" applyBorder="1" applyAlignment="1">
      <alignment horizontal="right" vertical="center"/>
    </xf>
    <xf numFmtId="0" fontId="32" fillId="0" borderId="1" xfId="0" applyFont="1" applyBorder="1" applyAlignment="1">
      <alignment horizontal="right" vertical="center"/>
    </xf>
    <xf numFmtId="38" fontId="32" fillId="0" borderId="1" xfId="0" applyNumberFormat="1" applyFont="1" applyBorder="1" applyAlignment="1">
      <alignment horizontal="right" vertical="center"/>
    </xf>
    <xf numFmtId="0" fontId="32" fillId="0" borderId="1" xfId="0" applyFont="1" applyBorder="1">
      <alignment vertical="center"/>
    </xf>
    <xf numFmtId="38" fontId="32" fillId="0" borderId="1" xfId="0" applyNumberFormat="1" applyFont="1" applyBorder="1">
      <alignment vertical="center"/>
    </xf>
    <xf numFmtId="0" fontId="35" fillId="0" borderId="1" xfId="0" applyFont="1" applyBorder="1" applyAlignment="1">
      <alignment horizontal="right" vertical="center"/>
    </xf>
    <xf numFmtId="38" fontId="35" fillId="0" borderId="1" xfId="1" applyFont="1" applyFill="1" applyBorder="1" applyAlignment="1">
      <alignment horizontal="right" vertical="center"/>
    </xf>
    <xf numFmtId="38" fontId="4" fillId="0" borderId="1" xfId="1" applyFont="1" applyFill="1" applyBorder="1" applyAlignment="1">
      <alignment horizontal="right" vertical="center"/>
    </xf>
    <xf numFmtId="0" fontId="37" fillId="0" borderId="0" xfId="0" applyFont="1">
      <alignment vertical="center"/>
    </xf>
    <xf numFmtId="38" fontId="37" fillId="0" borderId="0" xfId="0" applyNumberFormat="1" applyFont="1">
      <alignment vertical="center"/>
    </xf>
    <xf numFmtId="0" fontId="37" fillId="0" borderId="0" xfId="0" applyFont="1" applyAlignment="1">
      <alignment horizontal="right" vertical="center"/>
    </xf>
  </cellXfs>
  <cellStyles count="7">
    <cellStyle name="20% - アクセント 5" xfId="6" builtinId="46"/>
    <cellStyle name="どちらでもない" xfId="5" builtinId="28"/>
    <cellStyle name="パーセント" xfId="2" builtinId="5"/>
    <cellStyle name="メモ" xfId="3" builtinId="10"/>
    <cellStyle name="悪い" xfId="4" builtinId="27"/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1</xdr:row>
      <xdr:rowOff>33131</xdr:rowOff>
    </xdr:from>
    <xdr:to>
      <xdr:col>10</xdr:col>
      <xdr:colOff>95251</xdr:colOff>
      <xdr:row>2</xdr:row>
      <xdr:rowOff>123825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F10DD6BF-8F38-4E31-8982-67980983575E}"/>
            </a:ext>
          </a:extLst>
        </xdr:cNvPr>
        <xdr:cNvSpPr/>
      </xdr:nvSpPr>
      <xdr:spPr>
        <a:xfrm>
          <a:off x="4362451" y="195056"/>
          <a:ext cx="3028950" cy="252619"/>
        </a:xfrm>
        <a:prstGeom prst="rect">
          <a:avLst/>
        </a:prstGeom>
        <a:solidFill>
          <a:schemeClr val="accent2"/>
        </a:solidFill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chemeClr val="tx1"/>
              </a:solidFill>
            </a:rPr>
            <a:t>hanas</a:t>
          </a:r>
          <a:r>
            <a:rPr kumimoji="1" lang="en-US" altLang="ja-JP" sz="1200" b="1" baseline="0">
              <a:solidFill>
                <a:schemeClr val="tx1"/>
              </a:solidFill>
            </a:rPr>
            <a:t>  cost</a:t>
          </a:r>
          <a:endParaRPr kumimoji="1" lang="ja-JP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2071</xdr:colOff>
      <xdr:row>1</xdr:row>
      <xdr:rowOff>82826</xdr:rowOff>
    </xdr:from>
    <xdr:to>
      <xdr:col>4</xdr:col>
      <xdr:colOff>676276</xdr:colOff>
      <xdr:row>2</xdr:row>
      <xdr:rowOff>104775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6AC6C3D2-B1CA-88DC-807C-DFC0656A37DE}"/>
            </a:ext>
          </a:extLst>
        </xdr:cNvPr>
        <xdr:cNvSpPr/>
      </xdr:nvSpPr>
      <xdr:spPr>
        <a:xfrm>
          <a:off x="335446" y="244751"/>
          <a:ext cx="3236430" cy="183874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chemeClr val="tx1"/>
              </a:solidFill>
            </a:rPr>
            <a:t>Tukas</a:t>
          </a:r>
          <a:r>
            <a:rPr kumimoji="1" lang="en-US" altLang="ja-JP" sz="1200" b="1" baseline="0">
              <a:solidFill>
                <a:schemeClr val="tx1"/>
              </a:solidFill>
            </a:rPr>
            <a:t>  Cost</a:t>
          </a:r>
          <a:endParaRPr kumimoji="1" lang="ja-JP" altLang="en-US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663024</xdr:colOff>
      <xdr:row>2</xdr:row>
      <xdr:rowOff>114300</xdr:rowOff>
    </xdr:from>
    <xdr:to>
      <xdr:col>1</xdr:col>
      <xdr:colOff>548723</xdr:colOff>
      <xdr:row>4</xdr:row>
      <xdr:rowOff>81996</xdr:rowOff>
    </xdr:to>
    <xdr:sp macro="[0]!Recalculate_Sheet" textlink="">
      <xdr:nvSpPr>
        <xdr:cNvPr id="2" name="楕円 1">
          <a:extLst>
            <a:ext uri="{FF2B5EF4-FFF2-40B4-BE49-F238E27FC236}">
              <a16:creationId xmlns:a16="http://schemas.microsoft.com/office/drawing/2014/main" id="{87FF42F7-6D66-4998-82DA-12C5488BF84E}"/>
            </a:ext>
          </a:extLst>
        </xdr:cNvPr>
        <xdr:cNvSpPr/>
      </xdr:nvSpPr>
      <xdr:spPr>
        <a:xfrm>
          <a:off x="663024" y="1085850"/>
          <a:ext cx="571499" cy="291546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/>
            <a:t>Re</a:t>
          </a:r>
          <a:endParaRPr kumimoji="1" lang="ja-JP" altLang="en-US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428624</xdr:colOff>
      <xdr:row>0</xdr:row>
      <xdr:rowOff>150720</xdr:rowOff>
    </xdr:from>
    <xdr:to>
      <xdr:col>5</xdr:col>
      <xdr:colOff>295275</xdr:colOff>
      <xdr:row>9</xdr:row>
      <xdr:rowOff>110357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22BF375D-B6E7-8B59-4F84-1816AB9CD7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761" t="13114" r="8563" b="39910"/>
        <a:stretch>
          <a:fillRect/>
        </a:stretch>
      </xdr:blipFill>
      <xdr:spPr>
        <a:xfrm>
          <a:off x="428624" y="150720"/>
          <a:ext cx="3314701" cy="1502687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7</xdr:col>
      <xdr:colOff>231964</xdr:colOff>
      <xdr:row>0</xdr:row>
      <xdr:rowOff>141701</xdr:rowOff>
    </xdr:from>
    <xdr:to>
      <xdr:col>13</xdr:col>
      <xdr:colOff>47626</xdr:colOff>
      <xdr:row>9</xdr:row>
      <xdr:rowOff>148108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DBF0216-B730-6427-F5C4-C8BF71A4E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84964" y="141701"/>
          <a:ext cx="4063812" cy="1549457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k"/>
    </sheetNames>
    <sheetDataSet>
      <sheetData sheetId="0">
        <row r="2">
          <cell r="B2">
            <v>45658</v>
          </cell>
        </row>
        <row r="3">
          <cell r="B3">
            <v>45659</v>
          </cell>
        </row>
        <row r="4">
          <cell r="B4">
            <v>45660</v>
          </cell>
        </row>
        <row r="5">
          <cell r="B5">
            <v>45670</v>
          </cell>
        </row>
        <row r="6">
          <cell r="B6">
            <v>45699</v>
          </cell>
        </row>
        <row r="7">
          <cell r="B7">
            <v>45711</v>
          </cell>
        </row>
        <row r="8">
          <cell r="B8">
            <v>45712</v>
          </cell>
        </row>
        <row r="9">
          <cell r="B9">
            <v>45736</v>
          </cell>
        </row>
        <row r="10">
          <cell r="B10">
            <v>45776</v>
          </cell>
        </row>
        <row r="11">
          <cell r="B11">
            <v>45780</v>
          </cell>
        </row>
        <row r="12">
          <cell r="B12">
            <v>45781</v>
          </cell>
        </row>
        <row r="13">
          <cell r="B13">
            <v>45782</v>
          </cell>
        </row>
        <row r="14">
          <cell r="B14">
            <v>45783</v>
          </cell>
        </row>
        <row r="15">
          <cell r="B15">
            <v>45859</v>
          </cell>
        </row>
        <row r="16">
          <cell r="B16">
            <v>45880</v>
          </cell>
        </row>
        <row r="17">
          <cell r="B17">
            <v>45915</v>
          </cell>
        </row>
        <row r="18">
          <cell r="B18">
            <v>45923</v>
          </cell>
        </row>
        <row r="19">
          <cell r="B19">
            <v>45943</v>
          </cell>
        </row>
        <row r="20">
          <cell r="B20">
            <v>45964</v>
          </cell>
        </row>
        <row r="21">
          <cell r="B21">
            <v>45984</v>
          </cell>
        </row>
        <row r="22">
          <cell r="B22">
            <v>45985</v>
          </cell>
        </row>
        <row r="23">
          <cell r="B23">
            <v>46020</v>
          </cell>
        </row>
        <row r="24">
          <cell r="B24">
            <v>46021</v>
          </cell>
        </row>
        <row r="25">
          <cell r="B25">
            <v>46022</v>
          </cell>
        </row>
        <row r="26">
          <cell r="B26">
            <v>46023</v>
          </cell>
        </row>
        <row r="27">
          <cell r="B27">
            <v>46024</v>
          </cell>
        </row>
        <row r="28">
          <cell r="B28">
            <v>46025</v>
          </cell>
        </row>
        <row r="29">
          <cell r="B29">
            <v>46034</v>
          </cell>
        </row>
        <row r="30">
          <cell r="B30">
            <v>46064</v>
          </cell>
        </row>
        <row r="31">
          <cell r="B31">
            <v>46076</v>
          </cell>
        </row>
        <row r="32">
          <cell r="B32">
            <v>46101</v>
          </cell>
        </row>
        <row r="33">
          <cell r="B33">
            <v>46141</v>
          </cell>
        </row>
        <row r="34">
          <cell r="B34">
            <v>46145</v>
          </cell>
        </row>
        <row r="35">
          <cell r="B35">
            <v>46146</v>
          </cell>
        </row>
        <row r="36">
          <cell r="B36">
            <v>46147</v>
          </cell>
        </row>
        <row r="37">
          <cell r="B37">
            <v>46148</v>
          </cell>
        </row>
        <row r="38">
          <cell r="B38">
            <v>46223</v>
          </cell>
        </row>
        <row r="39">
          <cell r="B39">
            <v>46245</v>
          </cell>
        </row>
        <row r="40">
          <cell r="B40">
            <v>46286</v>
          </cell>
        </row>
        <row r="41">
          <cell r="B41">
            <v>46287</v>
          </cell>
        </row>
        <row r="42">
          <cell r="B42">
            <v>46288</v>
          </cell>
        </row>
        <row r="43">
          <cell r="B43">
            <v>46307</v>
          </cell>
        </row>
        <row r="44">
          <cell r="B44">
            <v>46329</v>
          </cell>
        </row>
        <row r="45">
          <cell r="B45">
            <v>46349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C9441-98C9-43E5-A004-85DC3BFF6371}">
  <sheetPr codeName="Sheet1"/>
  <dimension ref="B1:N67"/>
  <sheetViews>
    <sheetView tabSelected="1" view="pageBreakPreview" zoomScaleNormal="110" zoomScaleSheetLayoutView="100" workbookViewId="0">
      <selection activeCell="L14" sqref="L14"/>
    </sheetView>
  </sheetViews>
  <sheetFormatPr defaultRowHeight="12"/>
  <cols>
    <col min="1" max="1" width="4.375" style="1" customWidth="1"/>
    <col min="2" max="2" width="14.375" style="3" customWidth="1"/>
    <col min="3" max="11" width="9.625" style="3" customWidth="1"/>
    <col min="12" max="12" width="7.5" style="3" customWidth="1"/>
    <col min="13" max="17" width="9.75" style="1" customWidth="1"/>
    <col min="18" max="16384" width="9" style="1"/>
  </cols>
  <sheetData>
    <row r="1" spans="2:14" ht="12.95" customHeight="1">
      <c r="M1" s="3"/>
      <c r="N1" s="3"/>
    </row>
    <row r="2" spans="2:14" ht="12.95" customHeight="1">
      <c r="M2" s="3"/>
      <c r="N2" s="3"/>
    </row>
    <row r="3" spans="2:14" ht="12.95" customHeight="1"/>
    <row r="4" spans="2:14" ht="12.95" customHeight="1">
      <c r="B4" s="59" t="s">
        <v>6</v>
      </c>
      <c r="C4" s="61">
        <v>285000</v>
      </c>
      <c r="D4" s="59">
        <v>16</v>
      </c>
      <c r="E4" s="69">
        <f>+C4*D4+150000</f>
        <v>4710000</v>
      </c>
      <c r="F4" s="59"/>
      <c r="G4" s="59" t="s">
        <v>6</v>
      </c>
      <c r="H4" s="61">
        <v>255000</v>
      </c>
      <c r="I4" s="59">
        <v>16</v>
      </c>
      <c r="J4" s="69">
        <f>+H4*I4</f>
        <v>4080000</v>
      </c>
      <c r="K4" s="59"/>
      <c r="L4" s="59"/>
    </row>
    <row r="5" spans="2:14" ht="12.95" customHeight="1">
      <c r="B5" s="59" t="s">
        <v>53</v>
      </c>
      <c r="C5" s="61">
        <f>+C4*10%</f>
        <v>28500</v>
      </c>
      <c r="D5" s="59">
        <v>12</v>
      </c>
      <c r="E5" s="69">
        <f>+C5*D5</f>
        <v>342000</v>
      </c>
      <c r="G5" s="59" t="s">
        <v>53</v>
      </c>
      <c r="H5" s="61">
        <f>+H4*7%</f>
        <v>17850</v>
      </c>
      <c r="I5" s="59">
        <v>12</v>
      </c>
      <c r="J5" s="69">
        <f>+H5*I5</f>
        <v>214200</v>
      </c>
      <c r="K5" s="62"/>
      <c r="L5" s="59"/>
    </row>
    <row r="6" spans="2:14" ht="19.5" customHeight="1">
      <c r="B6" s="59"/>
      <c r="C6" s="99">
        <f>+E5+E4</f>
        <v>5052000</v>
      </c>
      <c r="D6" s="100">
        <v>0.79</v>
      </c>
      <c r="E6" s="101">
        <f>+C6*D6</f>
        <v>3991080</v>
      </c>
      <c r="F6" s="66"/>
      <c r="G6" s="66"/>
      <c r="H6" s="99">
        <f>+J4+J5</f>
        <v>4294200</v>
      </c>
      <c r="I6" s="100">
        <v>0.8</v>
      </c>
      <c r="J6" s="101">
        <f>+H6*I6</f>
        <v>3435360</v>
      </c>
      <c r="K6" s="59"/>
      <c r="L6" s="59"/>
    </row>
    <row r="7" spans="2:14" ht="13.5" customHeight="1">
      <c r="B7" s="59"/>
      <c r="C7" s="63"/>
      <c r="D7" s="64"/>
      <c r="E7" s="65"/>
      <c r="F7" s="66"/>
      <c r="G7" s="66"/>
      <c r="H7" s="63"/>
      <c r="I7" s="64"/>
      <c r="J7" s="65"/>
      <c r="K7" s="59"/>
      <c r="L7" s="59"/>
    </row>
    <row r="8" spans="2:14" ht="13.5" customHeight="1">
      <c r="B8" s="59" t="s">
        <v>7</v>
      </c>
      <c r="C8" s="61">
        <v>96000</v>
      </c>
      <c r="D8" s="59">
        <v>12</v>
      </c>
      <c r="E8" s="61">
        <f t="shared" ref="E8:E14" si="0">+C8*D8</f>
        <v>1152000</v>
      </c>
      <c r="F8" s="66"/>
      <c r="G8" s="66"/>
      <c r="H8" s="63"/>
      <c r="I8" s="64"/>
      <c r="J8" s="65"/>
      <c r="K8" s="59"/>
      <c r="L8" s="59"/>
    </row>
    <row r="9" spans="2:14" ht="12.95" customHeight="1">
      <c r="B9" s="59" t="s">
        <v>161</v>
      </c>
      <c r="C9" s="61">
        <v>24000</v>
      </c>
      <c r="D9" s="59">
        <v>12</v>
      </c>
      <c r="E9" s="61">
        <f t="shared" si="0"/>
        <v>288000</v>
      </c>
      <c r="F9" s="59"/>
      <c r="G9" s="59" t="s">
        <v>163</v>
      </c>
      <c r="H9" s="61">
        <v>60000</v>
      </c>
      <c r="I9" s="59">
        <v>12</v>
      </c>
      <c r="J9" s="61">
        <f>+H9*I9</f>
        <v>720000</v>
      </c>
      <c r="K9" s="59"/>
      <c r="L9" s="59"/>
    </row>
    <row r="10" spans="2:14" ht="12.95" customHeight="1">
      <c r="B10" s="67" t="s">
        <v>157</v>
      </c>
      <c r="C10" s="61">
        <v>20000</v>
      </c>
      <c r="D10" s="59">
        <v>12</v>
      </c>
      <c r="E10" s="61">
        <f t="shared" si="0"/>
        <v>240000</v>
      </c>
      <c r="F10" s="59"/>
      <c r="G10" s="3" t="s">
        <v>164</v>
      </c>
      <c r="H10" s="79">
        <v>15000</v>
      </c>
      <c r="I10" s="59">
        <v>12</v>
      </c>
      <c r="J10" s="61">
        <f>+H10*I10</f>
        <v>180000</v>
      </c>
      <c r="K10" s="59"/>
      <c r="L10" s="59"/>
    </row>
    <row r="11" spans="2:14" ht="12.95" customHeight="1">
      <c r="B11" s="67" t="s">
        <v>3</v>
      </c>
      <c r="C11" s="61">
        <v>6000</v>
      </c>
      <c r="D11" s="59">
        <v>12</v>
      </c>
      <c r="E11" s="61">
        <f t="shared" si="0"/>
        <v>72000</v>
      </c>
      <c r="F11" s="59"/>
      <c r="G11" s="59" t="s">
        <v>153</v>
      </c>
      <c r="H11" s="60">
        <v>4500</v>
      </c>
      <c r="I11" s="59">
        <v>8</v>
      </c>
      <c r="J11" s="60">
        <f>+H11*I11</f>
        <v>36000</v>
      </c>
      <c r="K11" s="59"/>
      <c r="L11" s="59"/>
    </row>
    <row r="12" spans="2:14" ht="12.95" customHeight="1">
      <c r="B12" s="59" t="s">
        <v>160</v>
      </c>
      <c r="C12" s="79">
        <v>6500</v>
      </c>
      <c r="D12" s="3">
        <v>12</v>
      </c>
      <c r="E12" s="80">
        <f t="shared" si="0"/>
        <v>78000</v>
      </c>
      <c r="F12" s="59"/>
      <c r="K12" s="59"/>
      <c r="L12" s="59"/>
    </row>
    <row r="13" spans="2:14" ht="12.95" customHeight="1">
      <c r="B13" s="68" t="s">
        <v>4</v>
      </c>
      <c r="C13" s="61">
        <v>30000</v>
      </c>
      <c r="D13" s="59">
        <v>12</v>
      </c>
      <c r="E13" s="61">
        <f t="shared" si="0"/>
        <v>360000</v>
      </c>
      <c r="F13" s="59"/>
      <c r="K13" s="59"/>
      <c r="L13" s="59"/>
    </row>
    <row r="14" spans="2:14" ht="12.95" customHeight="1">
      <c r="B14" s="59" t="s">
        <v>154</v>
      </c>
      <c r="C14" s="70">
        <v>20000</v>
      </c>
      <c r="D14" s="59">
        <v>12</v>
      </c>
      <c r="E14" s="61">
        <f t="shared" si="0"/>
        <v>240000</v>
      </c>
      <c r="F14" s="59"/>
      <c r="K14" s="59"/>
      <c r="L14" s="59"/>
    </row>
    <row r="15" spans="2:14" ht="12.95" customHeight="1">
      <c r="D15" s="102" t="s">
        <v>162</v>
      </c>
      <c r="E15" s="103">
        <f>SUM(E8:E14)</f>
        <v>2430000</v>
      </c>
      <c r="F15" s="59"/>
      <c r="I15" s="104" t="s">
        <v>162</v>
      </c>
      <c r="J15" s="105">
        <f>SUM(J8:J14)</f>
        <v>936000</v>
      </c>
      <c r="K15" s="59"/>
      <c r="L15" s="59"/>
    </row>
    <row r="16" spans="2:14" ht="12.95" customHeight="1">
      <c r="F16" s="59"/>
      <c r="K16" s="59"/>
      <c r="L16" s="59"/>
    </row>
    <row r="17" spans="2:12" ht="12.95" customHeight="1">
      <c r="B17" s="68" t="s">
        <v>27</v>
      </c>
      <c r="C17" s="61">
        <v>5000</v>
      </c>
      <c r="D17" s="59">
        <v>3</v>
      </c>
      <c r="E17" s="61">
        <f t="shared" ref="E17:E22" si="1">+C17*D17</f>
        <v>15000</v>
      </c>
      <c r="F17" s="59"/>
      <c r="G17" s="68" t="s">
        <v>27</v>
      </c>
      <c r="H17" s="61">
        <v>20000</v>
      </c>
      <c r="I17" s="59">
        <v>12</v>
      </c>
      <c r="J17" s="61">
        <f t="shared" ref="J17:J23" si="2">+H17*I17</f>
        <v>240000</v>
      </c>
      <c r="K17" s="59"/>
      <c r="L17" s="59"/>
    </row>
    <row r="18" spans="2:12" ht="12.95" customHeight="1">
      <c r="B18" s="68" t="s">
        <v>148</v>
      </c>
      <c r="C18" s="61">
        <v>3300</v>
      </c>
      <c r="D18" s="59">
        <v>12</v>
      </c>
      <c r="E18" s="61">
        <f t="shared" si="1"/>
        <v>39600</v>
      </c>
      <c r="F18" s="59"/>
      <c r="G18" s="68" t="s">
        <v>155</v>
      </c>
      <c r="H18" s="61">
        <v>10000</v>
      </c>
      <c r="I18" s="59">
        <v>12</v>
      </c>
      <c r="J18" s="61">
        <f t="shared" si="2"/>
        <v>120000</v>
      </c>
      <c r="K18" s="71"/>
      <c r="L18" s="71"/>
    </row>
    <row r="19" spans="2:12" ht="12.95" customHeight="1">
      <c r="B19" s="59" t="s">
        <v>0</v>
      </c>
      <c r="C19" s="61">
        <v>2000</v>
      </c>
      <c r="D19" s="59">
        <v>12</v>
      </c>
      <c r="E19" s="61">
        <f t="shared" si="1"/>
        <v>24000</v>
      </c>
      <c r="F19" s="59"/>
      <c r="G19" s="59" t="s">
        <v>0</v>
      </c>
      <c r="H19" s="61">
        <v>2000</v>
      </c>
      <c r="I19" s="59">
        <v>12</v>
      </c>
      <c r="J19" s="61">
        <f t="shared" si="2"/>
        <v>24000</v>
      </c>
      <c r="K19" s="59"/>
      <c r="L19" s="71"/>
    </row>
    <row r="20" spans="2:12" ht="12.95" customHeight="1">
      <c r="B20" s="61" t="s">
        <v>52</v>
      </c>
      <c r="C20" s="61">
        <v>3300</v>
      </c>
      <c r="D20" s="59">
        <v>4</v>
      </c>
      <c r="E20" s="61">
        <f t="shared" si="1"/>
        <v>13200</v>
      </c>
      <c r="F20" s="59"/>
      <c r="G20" s="61" t="s">
        <v>52</v>
      </c>
      <c r="H20" s="61">
        <v>3300</v>
      </c>
      <c r="I20" s="59">
        <v>4</v>
      </c>
      <c r="J20" s="61">
        <f t="shared" si="2"/>
        <v>13200</v>
      </c>
      <c r="K20" s="61"/>
      <c r="L20" s="59"/>
    </row>
    <row r="21" spans="2:12" ht="12.95" customHeight="1">
      <c r="B21" s="59" t="s">
        <v>8</v>
      </c>
      <c r="C21" s="61">
        <v>2000</v>
      </c>
      <c r="D21" s="59">
        <v>12</v>
      </c>
      <c r="E21" s="61">
        <f t="shared" si="1"/>
        <v>24000</v>
      </c>
      <c r="F21" s="59"/>
      <c r="G21" s="67" t="s">
        <v>8</v>
      </c>
      <c r="H21" s="61">
        <v>10000</v>
      </c>
      <c r="I21" s="59">
        <v>8</v>
      </c>
      <c r="J21" s="61">
        <f t="shared" si="2"/>
        <v>80000</v>
      </c>
      <c r="K21" s="61"/>
      <c r="L21" s="59"/>
    </row>
    <row r="22" spans="2:12" ht="12.95" customHeight="1">
      <c r="B22" s="59" t="s">
        <v>29</v>
      </c>
      <c r="C22" s="61">
        <v>2000</v>
      </c>
      <c r="D22" s="59">
        <v>8</v>
      </c>
      <c r="E22" s="61">
        <f t="shared" si="1"/>
        <v>16000</v>
      </c>
      <c r="F22" s="59"/>
      <c r="G22" s="59" t="s">
        <v>29</v>
      </c>
      <c r="H22" s="61">
        <v>10000</v>
      </c>
      <c r="I22" s="59">
        <v>6</v>
      </c>
      <c r="J22" s="61">
        <f t="shared" si="2"/>
        <v>60000</v>
      </c>
      <c r="K22" s="61"/>
      <c r="L22" s="59"/>
    </row>
    <row r="23" spans="2:12" ht="12.95" customHeight="1">
      <c r="B23" s="59"/>
      <c r="C23" s="61"/>
      <c r="D23" s="59"/>
      <c r="E23" s="61"/>
      <c r="F23" s="59"/>
      <c r="G23" s="68" t="s">
        <v>11</v>
      </c>
      <c r="H23" s="61">
        <v>30000</v>
      </c>
      <c r="I23" s="59">
        <v>4</v>
      </c>
      <c r="J23" s="61">
        <f t="shared" si="2"/>
        <v>120000</v>
      </c>
      <c r="K23" s="61"/>
      <c r="L23" s="59"/>
    </row>
    <row r="24" spans="2:12" s="2" customFormat="1" ht="12.95" customHeight="1">
      <c r="B24" s="96"/>
      <c r="C24" s="108"/>
      <c r="D24" s="106" t="s">
        <v>165</v>
      </c>
      <c r="E24" s="107">
        <f>SUM(E17:E23)</f>
        <v>131800</v>
      </c>
      <c r="F24" s="96"/>
      <c r="G24" s="98"/>
      <c r="H24" s="108"/>
      <c r="I24" s="106" t="s">
        <v>165</v>
      </c>
      <c r="J24" s="107">
        <f>SUM(J17:J23)</f>
        <v>657200</v>
      </c>
      <c r="K24" s="97"/>
      <c r="L24" s="96"/>
    </row>
    <row r="25" spans="2:12" ht="12.95" customHeight="1">
      <c r="B25" s="1"/>
      <c r="C25" s="1"/>
      <c r="D25" s="1"/>
      <c r="E25" s="1"/>
      <c r="F25" s="1"/>
      <c r="G25" s="1"/>
      <c r="H25" s="1"/>
      <c r="I25" s="1"/>
      <c r="J25" s="1"/>
      <c r="K25" s="61"/>
      <c r="L25" s="59"/>
    </row>
    <row r="26" spans="2:12" ht="12.95" customHeight="1">
      <c r="B26" s="59" t="s">
        <v>55</v>
      </c>
      <c r="C26" s="69">
        <v>3000</v>
      </c>
      <c r="D26" s="59">
        <v>12</v>
      </c>
      <c r="E26" s="61">
        <f>+C26*D26</f>
        <v>36000</v>
      </c>
      <c r="G26" s="59" t="s">
        <v>55</v>
      </c>
      <c r="H26" s="69">
        <v>3000</v>
      </c>
      <c r="I26" s="59">
        <v>12</v>
      </c>
      <c r="J26" s="61">
        <f>+H26*I26</f>
        <v>36000</v>
      </c>
      <c r="K26" s="61"/>
      <c r="L26" s="59"/>
    </row>
    <row r="27" spans="2:12" ht="12.95" customHeight="1">
      <c r="B27" s="59" t="s">
        <v>56</v>
      </c>
      <c r="C27" s="69">
        <v>20000</v>
      </c>
      <c r="D27" s="59">
        <v>12</v>
      </c>
      <c r="E27" s="61">
        <f>+C27*D27</f>
        <v>240000</v>
      </c>
      <c r="F27" s="59"/>
      <c r="G27" s="59" t="s">
        <v>56</v>
      </c>
      <c r="H27" s="69">
        <v>15000</v>
      </c>
      <c r="I27" s="59">
        <v>12</v>
      </c>
      <c r="J27" s="61">
        <f>+H27*I27</f>
        <v>180000</v>
      </c>
      <c r="K27" s="61"/>
      <c r="L27" s="59"/>
    </row>
    <row r="28" spans="2:12" s="72" customFormat="1" ht="12.95" customHeight="1">
      <c r="D28" s="104" t="s">
        <v>166</v>
      </c>
      <c r="E28" s="105">
        <f>SUM(E26:E27)</f>
        <v>276000</v>
      </c>
      <c r="F28" s="74"/>
      <c r="I28" s="104" t="s">
        <v>166</v>
      </c>
      <c r="J28" s="105">
        <f>SUM(J26:J27)</f>
        <v>216000</v>
      </c>
      <c r="K28" s="95"/>
      <c r="L28" s="74"/>
    </row>
    <row r="29" spans="2:12" ht="12.95" customHeight="1">
      <c r="F29" s="59"/>
      <c r="K29" s="61"/>
      <c r="L29" s="71"/>
    </row>
    <row r="30" spans="2:12" ht="18.75" customHeight="1">
      <c r="D30" s="77" t="s">
        <v>152</v>
      </c>
      <c r="E30" s="78">
        <f>+E15+E24+E28</f>
        <v>2837800</v>
      </c>
      <c r="F30" s="59"/>
      <c r="I30" s="75" t="s">
        <v>152</v>
      </c>
      <c r="J30" s="76">
        <f>+J24+J15+J28</f>
        <v>1809200</v>
      </c>
      <c r="K30" s="61"/>
      <c r="L30" s="71"/>
    </row>
    <row r="31" spans="2:12" ht="18.75" customHeight="1">
      <c r="D31" s="109" t="s">
        <v>129</v>
      </c>
      <c r="E31" s="110">
        <f>+E6-E30</f>
        <v>1153280</v>
      </c>
      <c r="F31" s="111"/>
      <c r="G31" s="109"/>
      <c r="H31" s="109"/>
      <c r="I31" s="111" t="s">
        <v>129</v>
      </c>
      <c r="J31" s="110">
        <f>+J6-J30</f>
        <v>1626160</v>
      </c>
      <c r="K31" s="61"/>
      <c r="L31" s="71"/>
    </row>
    <row r="32" spans="2:12" ht="12.95" customHeight="1">
      <c r="F32" s="59"/>
      <c r="K32" s="61"/>
      <c r="L32" s="71"/>
    </row>
    <row r="33" spans="2:12" ht="12.95" customHeight="1">
      <c r="F33" s="59"/>
      <c r="I33" s="1"/>
      <c r="J33" s="1"/>
      <c r="K33" s="61"/>
      <c r="L33" s="71"/>
    </row>
    <row r="34" spans="2:12" ht="12.95" customHeight="1">
      <c r="F34" s="59"/>
      <c r="G34" s="1"/>
      <c r="H34" s="1"/>
      <c r="I34" s="1"/>
      <c r="J34" s="1"/>
      <c r="K34" s="71"/>
      <c r="L34" s="59"/>
    </row>
    <row r="35" spans="2:12" ht="12.95" customHeight="1">
      <c r="B35" s="81" t="s">
        <v>159</v>
      </c>
      <c r="C35" s="82"/>
      <c r="D35" s="83"/>
      <c r="E35" s="82"/>
      <c r="F35" s="59"/>
      <c r="G35" s="1"/>
      <c r="H35" s="1"/>
      <c r="I35" s="1"/>
      <c r="J35" s="1"/>
      <c r="K35" s="61"/>
      <c r="L35" s="59"/>
    </row>
    <row r="36" spans="2:12" ht="12.95" customHeight="1">
      <c r="B36" s="84" t="s">
        <v>144</v>
      </c>
      <c r="C36" s="85">
        <v>500</v>
      </c>
      <c r="D36" s="86">
        <v>12</v>
      </c>
      <c r="E36" s="87">
        <f t="shared" ref="E36:E37" si="3">+C36*D36</f>
        <v>6000</v>
      </c>
      <c r="F36" s="71"/>
      <c r="G36" s="1"/>
      <c r="H36" s="1"/>
      <c r="I36" s="1"/>
      <c r="J36" s="1"/>
      <c r="K36" s="61"/>
      <c r="L36" s="59"/>
    </row>
    <row r="37" spans="2:12" ht="12.95" customHeight="1">
      <c r="B37" s="84" t="s">
        <v>145</v>
      </c>
      <c r="C37" s="85">
        <v>2000</v>
      </c>
      <c r="D37" s="88">
        <v>12</v>
      </c>
      <c r="E37" s="87">
        <f t="shared" si="3"/>
        <v>24000</v>
      </c>
      <c r="F37" s="71"/>
      <c r="G37" s="1"/>
      <c r="H37" s="1"/>
      <c r="I37" s="1"/>
      <c r="J37" s="1"/>
      <c r="K37" s="61"/>
      <c r="L37" s="59"/>
    </row>
    <row r="38" spans="2:12" ht="12.95" customHeight="1">
      <c r="B38" s="84" t="s">
        <v>146</v>
      </c>
      <c r="C38" s="85">
        <v>1000</v>
      </c>
      <c r="D38" s="88">
        <v>12</v>
      </c>
      <c r="E38" s="87">
        <f t="shared" ref="E38:E43" si="4">+C38*D38</f>
        <v>12000</v>
      </c>
      <c r="F38" s="71"/>
      <c r="G38" s="1"/>
      <c r="H38" s="1"/>
      <c r="I38" s="1"/>
      <c r="J38" s="1"/>
      <c r="K38" s="71"/>
      <c r="L38" s="59"/>
    </row>
    <row r="39" spans="2:12" ht="12.95" customHeight="1">
      <c r="B39" s="84" t="s">
        <v>147</v>
      </c>
      <c r="C39" s="85">
        <v>400</v>
      </c>
      <c r="D39" s="88">
        <v>12</v>
      </c>
      <c r="E39" s="87">
        <f t="shared" si="4"/>
        <v>4800</v>
      </c>
      <c r="F39" s="71"/>
      <c r="K39" s="71"/>
      <c r="L39" s="59"/>
    </row>
    <row r="40" spans="2:12" ht="12.95" customHeight="1">
      <c r="B40" s="88" t="s">
        <v>49</v>
      </c>
      <c r="C40" s="88">
        <v>22</v>
      </c>
      <c r="D40" s="88">
        <v>180</v>
      </c>
      <c r="E40" s="87">
        <f t="shared" si="4"/>
        <v>3960</v>
      </c>
      <c r="F40" s="71"/>
      <c r="K40" s="59"/>
      <c r="L40" s="59"/>
    </row>
    <row r="41" spans="2:12" ht="12.95" customHeight="1">
      <c r="B41" s="88" t="s">
        <v>10</v>
      </c>
      <c r="C41" s="88">
        <v>11</v>
      </c>
      <c r="D41" s="88">
        <v>90</v>
      </c>
      <c r="E41" s="87">
        <f t="shared" si="4"/>
        <v>990</v>
      </c>
      <c r="F41" s="59"/>
      <c r="G41" s="59"/>
      <c r="H41" s="59"/>
      <c r="I41" s="59"/>
      <c r="J41" s="59"/>
      <c r="K41" s="59"/>
      <c r="L41" s="59"/>
    </row>
    <row r="42" spans="2:12" ht="12.95" customHeight="1">
      <c r="B42" s="88" t="s">
        <v>51</v>
      </c>
      <c r="C42" s="88">
        <v>30</v>
      </c>
      <c r="D42" s="88">
        <v>700</v>
      </c>
      <c r="E42" s="87">
        <f t="shared" si="4"/>
        <v>21000</v>
      </c>
      <c r="F42" s="59"/>
      <c r="G42" s="59"/>
      <c r="H42" s="59"/>
      <c r="I42" s="59"/>
      <c r="J42" s="59"/>
      <c r="K42" s="59"/>
      <c r="L42" s="59"/>
    </row>
    <row r="43" spans="2:12" ht="12.95" customHeight="1">
      <c r="B43" s="88" t="s">
        <v>158</v>
      </c>
      <c r="C43" s="88">
        <v>100</v>
      </c>
      <c r="D43" s="88">
        <v>50</v>
      </c>
      <c r="E43" s="87">
        <f t="shared" si="4"/>
        <v>5000</v>
      </c>
      <c r="F43" s="59"/>
      <c r="G43" s="59"/>
      <c r="H43" s="59"/>
      <c r="I43" s="59"/>
      <c r="J43" s="59"/>
      <c r="K43" s="59"/>
      <c r="L43" s="59"/>
    </row>
    <row r="44" spans="2:12" ht="12.95" customHeight="1">
      <c r="C44" s="89"/>
      <c r="D44" s="90"/>
      <c r="E44" s="73">
        <f>SUM(E36:E43)</f>
        <v>77750</v>
      </c>
      <c r="F44" s="59"/>
      <c r="G44" s="59"/>
      <c r="H44" s="59"/>
      <c r="I44" s="59"/>
      <c r="J44" s="59"/>
      <c r="K44" s="59"/>
      <c r="L44" s="59"/>
    </row>
    <row r="45" spans="2:12" ht="12.95" customHeight="1">
      <c r="B45" s="91" t="s">
        <v>151</v>
      </c>
      <c r="C45" s="91" t="s">
        <v>149</v>
      </c>
      <c r="D45" s="91" t="s">
        <v>150</v>
      </c>
      <c r="E45" s="92">
        <v>-25000</v>
      </c>
      <c r="F45" s="59"/>
      <c r="G45" s="59"/>
      <c r="H45" s="59"/>
      <c r="I45" s="59"/>
      <c r="J45" s="59"/>
      <c r="K45" s="59"/>
      <c r="L45" s="59"/>
    </row>
    <row r="46" spans="2:12" ht="12.95" customHeight="1">
      <c r="B46" s="91" t="s">
        <v>156</v>
      </c>
      <c r="C46" s="93">
        <v>2000000</v>
      </c>
      <c r="D46" s="94">
        <v>3.5000000000000003E-2</v>
      </c>
      <c r="E46" s="93">
        <f>+C46*D46</f>
        <v>70000</v>
      </c>
      <c r="F46" s="1"/>
      <c r="G46" s="1"/>
      <c r="H46" s="1"/>
      <c r="I46" s="1"/>
      <c r="J46" s="1"/>
      <c r="K46" s="59"/>
      <c r="L46" s="59"/>
    </row>
    <row r="47" spans="2:12" ht="12.95" customHeight="1">
      <c r="B47" s="1"/>
      <c r="C47" s="1"/>
      <c r="D47" s="1"/>
      <c r="E47" s="1"/>
      <c r="F47" s="1"/>
      <c r="G47" s="1"/>
      <c r="H47" s="1"/>
      <c r="I47" s="1"/>
      <c r="J47" s="1"/>
      <c r="K47" s="59"/>
      <c r="L47" s="59"/>
    </row>
    <row r="48" spans="2:12" ht="12.95" customHeight="1">
      <c r="F48" s="59"/>
      <c r="G48" s="71"/>
      <c r="H48" s="71"/>
      <c r="I48" s="71"/>
      <c r="J48" s="71"/>
      <c r="K48" s="71"/>
      <c r="L48" s="59"/>
    </row>
    <row r="49" spans="4:12" ht="12.95" customHeight="1">
      <c r="G49" s="1"/>
      <c r="H49" s="1"/>
      <c r="I49" s="1"/>
      <c r="J49" s="1"/>
      <c r="K49" s="1"/>
    </row>
    <row r="50" spans="4:12" ht="12.95" customHeight="1">
      <c r="G50" s="1"/>
      <c r="H50" s="1"/>
      <c r="I50" s="1"/>
      <c r="J50" s="1"/>
      <c r="K50" s="1"/>
    </row>
    <row r="51" spans="4:12" ht="12.95" customHeight="1">
      <c r="D51" s="1"/>
      <c r="E51" s="1"/>
      <c r="G51" s="1"/>
      <c r="H51" s="1"/>
      <c r="I51" s="1"/>
      <c r="J51" s="1"/>
      <c r="K51" s="1"/>
    </row>
    <row r="52" spans="4:12" ht="12.95" customHeight="1">
      <c r="G52" s="1"/>
      <c r="H52" s="1"/>
      <c r="I52" s="1"/>
      <c r="J52" s="1"/>
      <c r="K52" s="1"/>
      <c r="L52" s="1"/>
    </row>
    <row r="53" spans="4:12" ht="12.95" customHeight="1">
      <c r="G53" s="1"/>
      <c r="H53" s="1"/>
      <c r="I53" s="1"/>
      <c r="J53" s="1"/>
      <c r="K53" s="1"/>
      <c r="L53" s="1"/>
    </row>
    <row r="54" spans="4:12">
      <c r="L54" s="1"/>
    </row>
    <row r="55" spans="4:12">
      <c r="E55" s="80"/>
      <c r="L55" s="1"/>
    </row>
    <row r="56" spans="4:12">
      <c r="L56" s="1"/>
    </row>
    <row r="57" spans="4:12">
      <c r="L57" s="1"/>
    </row>
    <row r="58" spans="4:12">
      <c r="L58" s="1"/>
    </row>
    <row r="59" spans="4:12">
      <c r="L59" s="1"/>
    </row>
    <row r="60" spans="4:12">
      <c r="L60" s="1"/>
    </row>
    <row r="61" spans="4:12">
      <c r="L61" s="1"/>
    </row>
    <row r="62" spans="4:12">
      <c r="L62" s="1"/>
    </row>
    <row r="63" spans="4:12">
      <c r="L63" s="1"/>
    </row>
    <row r="64" spans="4:12">
      <c r="L64" s="1"/>
    </row>
    <row r="65" spans="12:12">
      <c r="L65" s="1"/>
    </row>
    <row r="66" spans="12:12">
      <c r="L66" s="1"/>
    </row>
    <row r="67" spans="12:12">
      <c r="L67" s="1"/>
    </row>
  </sheetData>
  <phoneticPr fontId="2"/>
  <pageMargins left="0.19685039370078741" right="0.19685039370078741" top="0.11811023622047245" bottom="0.11811023622047245" header="0.39370078740157483" footer="0.39370078740157483"/>
  <pageSetup paperSize="12" scale="9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267EC-6F13-46DD-9BEF-F84CE39C8A68}">
  <dimension ref="B1:L34"/>
  <sheetViews>
    <sheetView workbookViewId="0">
      <selection activeCell="E3" sqref="E3"/>
    </sheetView>
  </sheetViews>
  <sheetFormatPr defaultRowHeight="18.75"/>
  <cols>
    <col min="9" max="9" width="8.25" customWidth="1"/>
  </cols>
  <sheetData>
    <row r="1" spans="2:12" ht="12.75" customHeight="1"/>
    <row r="2" spans="2:12" ht="12.75" customHeight="1">
      <c r="B2" s="12"/>
      <c r="C2" s="12"/>
      <c r="D2" s="12"/>
      <c r="E2" s="12"/>
      <c r="F2" s="12"/>
      <c r="G2" s="12"/>
      <c r="H2" s="12"/>
      <c r="I2" s="1"/>
      <c r="J2" s="1"/>
      <c r="K2" s="1"/>
    </row>
    <row r="3" spans="2:12" ht="12.75" customHeight="1">
      <c r="B3" s="1"/>
      <c r="C3" s="1"/>
      <c r="D3" s="1"/>
      <c r="E3" s="1"/>
      <c r="F3" s="1"/>
      <c r="G3" s="25"/>
      <c r="H3" s="1"/>
      <c r="I3" s="1"/>
      <c r="J3" s="1"/>
      <c r="K3" s="1"/>
    </row>
    <row r="4" spans="2:12" ht="12.75" customHeight="1">
      <c r="B4" s="1"/>
      <c r="C4" s="1"/>
      <c r="D4" s="1"/>
      <c r="E4" s="1"/>
      <c r="F4" s="1"/>
      <c r="G4" s="25"/>
      <c r="H4" s="1"/>
      <c r="I4" s="1"/>
      <c r="J4" s="1"/>
      <c r="K4" s="1"/>
    </row>
    <row r="5" spans="2:12" ht="12.75" customHeight="1">
      <c r="B5" s="3"/>
      <c r="C5" s="1" t="s">
        <v>141</v>
      </c>
      <c r="D5" s="3" t="s">
        <v>76</v>
      </c>
      <c r="E5" s="1"/>
      <c r="F5" s="1" t="s">
        <v>77</v>
      </c>
      <c r="G5" s="1" t="s">
        <v>78</v>
      </c>
      <c r="H5" s="1" t="s">
        <v>79</v>
      </c>
      <c r="I5" s="1" t="s">
        <v>140</v>
      </c>
      <c r="J5" s="1" t="s">
        <v>80</v>
      </c>
      <c r="K5" s="1" t="s">
        <v>142</v>
      </c>
      <c r="L5" s="1" t="s">
        <v>143</v>
      </c>
    </row>
    <row r="6" spans="2:12" ht="12.75" customHeight="1">
      <c r="B6" s="3">
        <v>2025</v>
      </c>
      <c r="C6" s="57">
        <f>+F6</f>
        <v>300</v>
      </c>
      <c r="D6" s="3">
        <v>30</v>
      </c>
      <c r="E6" s="57"/>
      <c r="F6" s="1">
        <v>300</v>
      </c>
      <c r="G6" s="23">
        <f ca="1">IF(RAND()&lt;=0.3, RANDBETWEEN(95,100)/100, RANDBETWEEN(105,110)/100)</f>
        <v>1.0900000000000001</v>
      </c>
      <c r="H6" s="57">
        <f t="shared" ref="H6:H31" ca="1" si="0">+F6*G6</f>
        <v>327</v>
      </c>
      <c r="I6" s="1">
        <v>30</v>
      </c>
      <c r="J6" s="24">
        <f t="shared" ref="J6:J31" ca="1" si="1">+H6-F6</f>
        <v>27</v>
      </c>
      <c r="K6" s="24">
        <f t="shared" ref="K6:K31" ca="1" si="2">+H6-C6</f>
        <v>27</v>
      </c>
      <c r="L6" s="58">
        <f ca="1">+H6/C6</f>
        <v>1.0900000000000001</v>
      </c>
    </row>
    <row r="7" spans="2:12" ht="12.75" customHeight="1">
      <c r="B7" s="3">
        <f t="shared" ref="B7:B31" si="3">+B6+1</f>
        <v>2026</v>
      </c>
      <c r="C7" s="57">
        <f>+C6+D6</f>
        <v>330</v>
      </c>
      <c r="D7" s="3">
        <v>30</v>
      </c>
      <c r="E7" s="57"/>
      <c r="F7" s="24">
        <f ca="1">+H6+I6</f>
        <v>357</v>
      </c>
      <c r="G7" s="23">
        <f t="shared" ref="G7:G31" ca="1" si="4">IF(RAND()&lt;=0.3, RANDBETWEEN(95,100)/100, RANDBETWEEN(105,110)/100)</f>
        <v>1.05</v>
      </c>
      <c r="H7" s="57">
        <f t="shared" ca="1" si="0"/>
        <v>374.85</v>
      </c>
      <c r="I7" s="1">
        <v>30</v>
      </c>
      <c r="J7" s="24">
        <f t="shared" ca="1" si="1"/>
        <v>17.850000000000023</v>
      </c>
      <c r="K7" s="24">
        <f t="shared" ca="1" si="2"/>
        <v>44.850000000000023</v>
      </c>
      <c r="L7" s="58">
        <f t="shared" ref="L7:L30" ca="1" si="5">+H7/C7</f>
        <v>1.135909090909091</v>
      </c>
    </row>
    <row r="8" spans="2:12" ht="12.75" customHeight="1">
      <c r="B8" s="3">
        <f t="shared" si="3"/>
        <v>2027</v>
      </c>
      <c r="C8" s="57">
        <f>+C7+D7</f>
        <v>360</v>
      </c>
      <c r="D8" s="3">
        <f>+D7</f>
        <v>30</v>
      </c>
      <c r="E8" s="57"/>
      <c r="F8" s="24">
        <f t="shared" ref="F8:F31" ca="1" si="6">+H7+I7</f>
        <v>404.85</v>
      </c>
      <c r="G8" s="23">
        <f t="shared" ca="1" si="4"/>
        <v>1</v>
      </c>
      <c r="H8" s="57">
        <f t="shared" ca="1" si="0"/>
        <v>404.85</v>
      </c>
      <c r="I8" s="1">
        <v>30</v>
      </c>
      <c r="J8" s="24">
        <f t="shared" ca="1" si="1"/>
        <v>0</v>
      </c>
      <c r="K8" s="24">
        <f t="shared" ca="1" si="2"/>
        <v>44.850000000000023</v>
      </c>
      <c r="L8" s="58">
        <f t="shared" ca="1" si="5"/>
        <v>1.1245833333333335</v>
      </c>
    </row>
    <row r="9" spans="2:12" ht="12.75" customHeight="1">
      <c r="B9" s="3">
        <f t="shared" si="3"/>
        <v>2028</v>
      </c>
      <c r="C9" s="57">
        <f t="shared" ref="C9:C31" si="7">+C8+D8</f>
        <v>390</v>
      </c>
      <c r="D9" s="3">
        <f t="shared" ref="D9:D31" si="8">+D8</f>
        <v>30</v>
      </c>
      <c r="E9" s="57"/>
      <c r="F9" s="24">
        <f t="shared" ca="1" si="6"/>
        <v>434.85</v>
      </c>
      <c r="G9" s="23">
        <f t="shared" ca="1" si="4"/>
        <v>1.08</v>
      </c>
      <c r="H9" s="57">
        <f t="shared" ca="1" si="0"/>
        <v>469.63800000000003</v>
      </c>
      <c r="I9" s="1">
        <v>30</v>
      </c>
      <c r="J9" s="24">
        <f t="shared" ca="1" si="1"/>
        <v>34.788000000000011</v>
      </c>
      <c r="K9" s="24">
        <f t="shared" ca="1" si="2"/>
        <v>79.638000000000034</v>
      </c>
      <c r="L9" s="58">
        <f t="shared" ca="1" si="5"/>
        <v>1.2042000000000002</v>
      </c>
    </row>
    <row r="10" spans="2:12" ht="12.75" customHeight="1">
      <c r="B10" s="3">
        <f t="shared" si="3"/>
        <v>2029</v>
      </c>
      <c r="C10" s="57">
        <f t="shared" si="7"/>
        <v>420</v>
      </c>
      <c r="D10" s="3">
        <f t="shared" si="8"/>
        <v>30</v>
      </c>
      <c r="E10" s="57"/>
      <c r="F10" s="24">
        <f t="shared" ca="1" si="6"/>
        <v>499.63800000000003</v>
      </c>
      <c r="G10" s="23">
        <f t="shared" ca="1" si="4"/>
        <v>1.08</v>
      </c>
      <c r="H10" s="57">
        <f t="shared" ca="1" si="0"/>
        <v>539.60904000000005</v>
      </c>
      <c r="I10" s="1">
        <v>30</v>
      </c>
      <c r="J10" s="24">
        <f t="shared" ca="1" si="1"/>
        <v>39.971040000000016</v>
      </c>
      <c r="K10" s="24">
        <f t="shared" ca="1" si="2"/>
        <v>119.60904000000005</v>
      </c>
      <c r="L10" s="58">
        <f t="shared" ca="1" si="5"/>
        <v>1.2847834285714288</v>
      </c>
    </row>
    <row r="11" spans="2:12" ht="12.75" customHeight="1">
      <c r="B11" s="3">
        <f t="shared" si="3"/>
        <v>2030</v>
      </c>
      <c r="C11" s="57">
        <f t="shared" si="7"/>
        <v>450</v>
      </c>
      <c r="D11" s="3">
        <f t="shared" si="8"/>
        <v>30</v>
      </c>
      <c r="E11" s="57"/>
      <c r="F11" s="24">
        <f t="shared" ca="1" si="6"/>
        <v>569.60904000000005</v>
      </c>
      <c r="G11" s="23">
        <f t="shared" ca="1" si="4"/>
        <v>1.06</v>
      </c>
      <c r="H11" s="57">
        <f t="shared" ca="1" si="0"/>
        <v>603.78558240000007</v>
      </c>
      <c r="I11" s="1">
        <v>30</v>
      </c>
      <c r="J11" s="24">
        <f t="shared" ca="1" si="1"/>
        <v>34.176542400000017</v>
      </c>
      <c r="K11" s="24">
        <f t="shared" ca="1" si="2"/>
        <v>153.78558240000007</v>
      </c>
      <c r="L11" s="58">
        <f t="shared" ca="1" si="5"/>
        <v>1.3417457386666669</v>
      </c>
    </row>
    <row r="12" spans="2:12" ht="12.75" customHeight="1">
      <c r="B12" s="3">
        <f t="shared" si="3"/>
        <v>2031</v>
      </c>
      <c r="C12" s="57">
        <f t="shared" si="7"/>
        <v>480</v>
      </c>
      <c r="D12" s="3">
        <f t="shared" si="8"/>
        <v>30</v>
      </c>
      <c r="E12" s="57"/>
      <c r="F12" s="24">
        <f t="shared" ca="1" si="6"/>
        <v>633.78558240000007</v>
      </c>
      <c r="G12" s="23">
        <f t="shared" ca="1" si="4"/>
        <v>1.05</v>
      </c>
      <c r="H12" s="57">
        <f t="shared" ca="1" si="0"/>
        <v>665.4748615200001</v>
      </c>
      <c r="I12" s="1">
        <v>30</v>
      </c>
      <c r="J12" s="24">
        <f t="shared" ca="1" si="1"/>
        <v>31.689279120000037</v>
      </c>
      <c r="K12" s="24">
        <f t="shared" ca="1" si="2"/>
        <v>185.4748615200001</v>
      </c>
      <c r="L12" s="58">
        <f t="shared" ca="1" si="5"/>
        <v>1.3864059615000002</v>
      </c>
    </row>
    <row r="13" spans="2:12" ht="12.75" customHeight="1">
      <c r="B13" s="3">
        <f t="shared" si="3"/>
        <v>2032</v>
      </c>
      <c r="C13" s="57">
        <f t="shared" si="7"/>
        <v>510</v>
      </c>
      <c r="D13" s="3">
        <f t="shared" si="8"/>
        <v>30</v>
      </c>
      <c r="E13" s="57"/>
      <c r="F13" s="24">
        <f t="shared" ca="1" si="6"/>
        <v>695.4748615200001</v>
      </c>
      <c r="G13" s="23">
        <f t="shared" ca="1" si="4"/>
        <v>1</v>
      </c>
      <c r="H13" s="57">
        <f t="shared" ca="1" si="0"/>
        <v>695.4748615200001</v>
      </c>
      <c r="I13" s="1">
        <v>30</v>
      </c>
      <c r="J13" s="24">
        <f t="shared" ca="1" si="1"/>
        <v>0</v>
      </c>
      <c r="K13" s="24">
        <f t="shared" ca="1" si="2"/>
        <v>185.4748615200001</v>
      </c>
      <c r="L13" s="58">
        <f t="shared" ca="1" si="5"/>
        <v>1.3636761990588238</v>
      </c>
    </row>
    <row r="14" spans="2:12" ht="12.75" customHeight="1">
      <c r="B14" s="3">
        <f t="shared" si="3"/>
        <v>2033</v>
      </c>
      <c r="C14" s="57">
        <f t="shared" si="7"/>
        <v>540</v>
      </c>
      <c r="D14" s="3">
        <f t="shared" si="8"/>
        <v>30</v>
      </c>
      <c r="E14" s="57"/>
      <c r="F14" s="24">
        <f t="shared" ca="1" si="6"/>
        <v>725.4748615200001</v>
      </c>
      <c r="G14" s="23">
        <f t="shared" ca="1" si="4"/>
        <v>1.05</v>
      </c>
      <c r="H14" s="57">
        <f t="shared" ca="1" si="0"/>
        <v>761.74860459600018</v>
      </c>
      <c r="I14" s="1">
        <v>30</v>
      </c>
      <c r="J14" s="24">
        <f t="shared" ca="1" si="1"/>
        <v>36.273743076000073</v>
      </c>
      <c r="K14" s="24">
        <f t="shared" ca="1" si="2"/>
        <v>221.74860459600018</v>
      </c>
      <c r="L14" s="58">
        <f t="shared" ca="1" si="5"/>
        <v>1.4106455640666671</v>
      </c>
    </row>
    <row r="15" spans="2:12" ht="12.75" customHeight="1">
      <c r="B15" s="3">
        <f t="shared" si="3"/>
        <v>2034</v>
      </c>
      <c r="C15" s="57">
        <f t="shared" si="7"/>
        <v>570</v>
      </c>
      <c r="D15" s="3">
        <f t="shared" si="8"/>
        <v>30</v>
      </c>
      <c r="E15" s="57"/>
      <c r="F15" s="24">
        <f t="shared" ca="1" si="6"/>
        <v>791.74860459600018</v>
      </c>
      <c r="G15" s="23">
        <f t="shared" ca="1" si="4"/>
        <v>1.08</v>
      </c>
      <c r="H15" s="57">
        <f t="shared" ca="1" si="0"/>
        <v>855.08849296368021</v>
      </c>
      <c r="I15" s="1">
        <v>30</v>
      </c>
      <c r="J15" s="24">
        <f t="shared" ca="1" si="1"/>
        <v>63.339888367680032</v>
      </c>
      <c r="K15" s="24">
        <f t="shared" ca="1" si="2"/>
        <v>285.08849296368021</v>
      </c>
      <c r="L15" s="58">
        <f t="shared" ca="1" si="5"/>
        <v>1.5001552508134741</v>
      </c>
    </row>
    <row r="16" spans="2:12" ht="12.75" customHeight="1">
      <c r="B16" s="3">
        <f t="shared" si="3"/>
        <v>2035</v>
      </c>
      <c r="C16" s="57">
        <f t="shared" si="7"/>
        <v>600</v>
      </c>
      <c r="D16" s="3">
        <f t="shared" si="8"/>
        <v>30</v>
      </c>
      <c r="E16" s="57"/>
      <c r="F16" s="24">
        <f t="shared" ca="1" si="6"/>
        <v>885.08849296368021</v>
      </c>
      <c r="G16" s="23">
        <f t="shared" ca="1" si="4"/>
        <v>0.99</v>
      </c>
      <c r="H16" s="57">
        <f t="shared" ca="1" si="0"/>
        <v>876.23760803404343</v>
      </c>
      <c r="I16" s="1">
        <v>30</v>
      </c>
      <c r="J16" s="24">
        <f t="shared" ca="1" si="1"/>
        <v>-8.8508849296367771</v>
      </c>
      <c r="K16" s="24">
        <f t="shared" ca="1" si="2"/>
        <v>276.23760803404343</v>
      </c>
      <c r="L16" s="58">
        <f t="shared" ca="1" si="5"/>
        <v>1.4603960133900724</v>
      </c>
    </row>
    <row r="17" spans="2:12" ht="12.75" customHeight="1">
      <c r="B17" s="3">
        <f t="shared" si="3"/>
        <v>2036</v>
      </c>
      <c r="C17" s="57">
        <f t="shared" si="7"/>
        <v>630</v>
      </c>
      <c r="D17" s="3">
        <f t="shared" si="8"/>
        <v>30</v>
      </c>
      <c r="E17" s="57"/>
      <c r="F17" s="24">
        <f t="shared" ca="1" si="6"/>
        <v>906.23760803404343</v>
      </c>
      <c r="G17" s="23">
        <f t="shared" ca="1" si="4"/>
        <v>1.05</v>
      </c>
      <c r="H17" s="57">
        <f t="shared" ca="1" si="0"/>
        <v>951.54948843574562</v>
      </c>
      <c r="I17" s="1">
        <v>30</v>
      </c>
      <c r="J17" s="24">
        <f t="shared" ca="1" si="1"/>
        <v>45.311880401702183</v>
      </c>
      <c r="K17" s="24">
        <f t="shared" ca="1" si="2"/>
        <v>321.54948843574562</v>
      </c>
      <c r="L17" s="58">
        <f t="shared" ca="1" si="5"/>
        <v>1.5103960133900725</v>
      </c>
    </row>
    <row r="18" spans="2:12" ht="12.75" customHeight="1">
      <c r="B18" s="3">
        <f t="shared" si="3"/>
        <v>2037</v>
      </c>
      <c r="C18" s="57">
        <f t="shared" si="7"/>
        <v>660</v>
      </c>
      <c r="D18" s="3">
        <f t="shared" si="8"/>
        <v>30</v>
      </c>
      <c r="E18" s="57"/>
      <c r="F18" s="24">
        <f t="shared" ca="1" si="6"/>
        <v>981.54948843574562</v>
      </c>
      <c r="G18" s="23">
        <f t="shared" ca="1" si="4"/>
        <v>1.05</v>
      </c>
      <c r="H18" s="57">
        <f t="shared" ca="1" si="0"/>
        <v>1030.626962857533</v>
      </c>
      <c r="I18" s="1">
        <v>30</v>
      </c>
      <c r="J18" s="24">
        <f t="shared" ca="1" si="1"/>
        <v>49.077474421787429</v>
      </c>
      <c r="K18" s="24">
        <f t="shared" ca="1" si="2"/>
        <v>370.62696285753304</v>
      </c>
      <c r="L18" s="58">
        <f t="shared" ca="1" si="5"/>
        <v>1.5615560043295955</v>
      </c>
    </row>
    <row r="19" spans="2:12" ht="12.75" customHeight="1">
      <c r="B19" s="3">
        <f t="shared" si="3"/>
        <v>2038</v>
      </c>
      <c r="C19" s="57">
        <f t="shared" si="7"/>
        <v>690</v>
      </c>
      <c r="D19" s="3">
        <f t="shared" si="8"/>
        <v>30</v>
      </c>
      <c r="E19" s="57"/>
      <c r="F19" s="24">
        <f t="shared" ca="1" si="6"/>
        <v>1060.626962857533</v>
      </c>
      <c r="G19" s="23">
        <f t="shared" ca="1" si="4"/>
        <v>1.05</v>
      </c>
      <c r="H19" s="57">
        <f t="shared" ca="1" si="0"/>
        <v>1113.6583110004096</v>
      </c>
      <c r="I19" s="1">
        <v>30</v>
      </c>
      <c r="J19" s="24">
        <f t="shared" ca="1" si="1"/>
        <v>53.031348142876595</v>
      </c>
      <c r="K19" s="24">
        <f t="shared" ca="1" si="2"/>
        <v>423.65831100040964</v>
      </c>
      <c r="L19" s="58">
        <f t="shared" ca="1" si="5"/>
        <v>1.6139975521745067</v>
      </c>
    </row>
    <row r="20" spans="2:12" ht="12.75" customHeight="1">
      <c r="B20" s="3">
        <f t="shared" si="3"/>
        <v>2039</v>
      </c>
      <c r="C20" s="57">
        <f t="shared" si="7"/>
        <v>720</v>
      </c>
      <c r="D20" s="3">
        <f t="shared" si="8"/>
        <v>30</v>
      </c>
      <c r="E20" s="57"/>
      <c r="F20" s="24">
        <f t="shared" ca="1" si="6"/>
        <v>1143.6583110004096</v>
      </c>
      <c r="G20" s="23">
        <f t="shared" ca="1" si="4"/>
        <v>0.95</v>
      </c>
      <c r="H20" s="57">
        <f t="shared" ca="1" si="0"/>
        <v>1086.4753954503892</v>
      </c>
      <c r="I20" s="1">
        <v>30</v>
      </c>
      <c r="J20" s="24">
        <f t="shared" ca="1" si="1"/>
        <v>-57.182915550020425</v>
      </c>
      <c r="K20" s="24">
        <f t="shared" ca="1" si="2"/>
        <v>366.47539545038921</v>
      </c>
      <c r="L20" s="58">
        <f t="shared" ca="1" si="5"/>
        <v>1.5089936047922072</v>
      </c>
    </row>
    <row r="21" spans="2:12" ht="12.75" customHeight="1">
      <c r="B21" s="3">
        <f t="shared" si="3"/>
        <v>2040</v>
      </c>
      <c r="C21" s="57">
        <f t="shared" si="7"/>
        <v>750</v>
      </c>
      <c r="D21" s="3">
        <f t="shared" si="8"/>
        <v>30</v>
      </c>
      <c r="E21" s="57"/>
      <c r="F21" s="24">
        <f t="shared" ca="1" si="6"/>
        <v>1116.4753954503892</v>
      </c>
      <c r="G21" s="23">
        <f t="shared" ca="1" si="4"/>
        <v>1.1000000000000001</v>
      </c>
      <c r="H21" s="57">
        <f t="shared" ca="1" si="0"/>
        <v>1228.1229349954283</v>
      </c>
      <c r="I21" s="1">
        <v>30</v>
      </c>
      <c r="J21" s="24">
        <f t="shared" ca="1" si="1"/>
        <v>111.64753954503908</v>
      </c>
      <c r="K21" s="24">
        <f t="shared" ca="1" si="2"/>
        <v>478.1229349954283</v>
      </c>
      <c r="L21" s="58">
        <f t="shared" ca="1" si="5"/>
        <v>1.6374972466605711</v>
      </c>
    </row>
    <row r="22" spans="2:12" ht="12.75" customHeight="1">
      <c r="B22" s="3">
        <f t="shared" si="3"/>
        <v>2041</v>
      </c>
      <c r="C22" s="57">
        <f t="shared" si="7"/>
        <v>780</v>
      </c>
      <c r="D22" s="3">
        <f t="shared" si="8"/>
        <v>30</v>
      </c>
      <c r="E22" s="57"/>
      <c r="F22" s="24">
        <f t="shared" ca="1" si="6"/>
        <v>1258.1229349954283</v>
      </c>
      <c r="G22" s="23">
        <f t="shared" ca="1" si="4"/>
        <v>1.05</v>
      </c>
      <c r="H22" s="57">
        <f t="shared" ca="1" si="0"/>
        <v>1321.0290817451998</v>
      </c>
      <c r="I22" s="1">
        <v>30</v>
      </c>
      <c r="J22" s="24">
        <f t="shared" ca="1" si="1"/>
        <v>62.906146749771551</v>
      </c>
      <c r="K22" s="24">
        <f t="shared" ca="1" si="2"/>
        <v>541.02908174519985</v>
      </c>
      <c r="L22" s="58">
        <f t="shared" ca="1" si="5"/>
        <v>1.6936270278784613</v>
      </c>
    </row>
    <row r="23" spans="2:12" ht="12.75" customHeight="1">
      <c r="B23" s="3">
        <f t="shared" si="3"/>
        <v>2042</v>
      </c>
      <c r="C23" s="57">
        <f t="shared" si="7"/>
        <v>810</v>
      </c>
      <c r="D23" s="3">
        <f t="shared" si="8"/>
        <v>30</v>
      </c>
      <c r="E23" s="57"/>
      <c r="F23" s="24">
        <f t="shared" ca="1" si="6"/>
        <v>1351.0290817451998</v>
      </c>
      <c r="G23" s="23">
        <f t="shared" ca="1" si="4"/>
        <v>1.08</v>
      </c>
      <c r="H23" s="57">
        <f t="shared" ca="1" si="0"/>
        <v>1459.111408284816</v>
      </c>
      <c r="I23" s="1">
        <v>30</v>
      </c>
      <c r="J23" s="24">
        <f t="shared" ca="1" si="1"/>
        <v>108.08232653961613</v>
      </c>
      <c r="K23" s="24">
        <f t="shared" ca="1" si="2"/>
        <v>649.11140828481598</v>
      </c>
      <c r="L23" s="58">
        <f t="shared" ca="1" si="5"/>
        <v>1.8013721089935999</v>
      </c>
    </row>
    <row r="24" spans="2:12" ht="12.75" customHeight="1">
      <c r="B24" s="3">
        <f t="shared" si="3"/>
        <v>2043</v>
      </c>
      <c r="C24" s="57">
        <f t="shared" si="7"/>
        <v>840</v>
      </c>
      <c r="D24" s="3">
        <f t="shared" si="8"/>
        <v>30</v>
      </c>
      <c r="E24" s="57"/>
      <c r="F24" s="24">
        <f t="shared" ca="1" si="6"/>
        <v>1489.111408284816</v>
      </c>
      <c r="G24" s="23">
        <f t="shared" ca="1" si="4"/>
        <v>1.1000000000000001</v>
      </c>
      <c r="H24" s="57">
        <f t="shared" ca="1" si="0"/>
        <v>1638.0225491132976</v>
      </c>
      <c r="I24" s="1">
        <v>30</v>
      </c>
      <c r="J24" s="24">
        <f t="shared" ca="1" si="1"/>
        <v>148.91114082848162</v>
      </c>
      <c r="K24" s="24">
        <f t="shared" ca="1" si="2"/>
        <v>798.0225491132976</v>
      </c>
      <c r="L24" s="58">
        <f t="shared" ca="1" si="5"/>
        <v>1.9500268441824971</v>
      </c>
    </row>
    <row r="25" spans="2:12" ht="12.75" customHeight="1">
      <c r="B25" s="3">
        <f t="shared" si="3"/>
        <v>2044</v>
      </c>
      <c r="C25" s="57">
        <f t="shared" si="7"/>
        <v>870</v>
      </c>
      <c r="D25" s="3">
        <f t="shared" si="8"/>
        <v>30</v>
      </c>
      <c r="E25" s="57"/>
      <c r="F25" s="24">
        <f t="shared" ca="1" si="6"/>
        <v>1668.0225491132976</v>
      </c>
      <c r="G25" s="23">
        <f t="shared" ca="1" si="4"/>
        <v>1.06</v>
      </c>
      <c r="H25" s="57">
        <f t="shared" ca="1" si="0"/>
        <v>1768.1039020600956</v>
      </c>
      <c r="I25" s="1">
        <v>30</v>
      </c>
      <c r="J25" s="24">
        <f t="shared" ca="1" si="1"/>
        <v>100.08135294679801</v>
      </c>
      <c r="K25" s="24">
        <f t="shared" ca="1" si="2"/>
        <v>898.10390206009561</v>
      </c>
      <c r="L25" s="58">
        <f t="shared" ca="1" si="5"/>
        <v>2.0323033357012594</v>
      </c>
    </row>
    <row r="26" spans="2:12" ht="12.75" customHeight="1">
      <c r="B26" s="3">
        <f t="shared" si="3"/>
        <v>2045</v>
      </c>
      <c r="C26" s="57">
        <f t="shared" si="7"/>
        <v>900</v>
      </c>
      <c r="D26" s="3">
        <f t="shared" si="8"/>
        <v>30</v>
      </c>
      <c r="E26" s="57"/>
      <c r="F26" s="24">
        <f t="shared" ca="1" si="6"/>
        <v>1798.1039020600956</v>
      </c>
      <c r="G26" s="23">
        <f t="shared" ca="1" si="4"/>
        <v>1.0900000000000001</v>
      </c>
      <c r="H26" s="57">
        <f t="shared" ca="1" si="0"/>
        <v>1959.9332532455044</v>
      </c>
      <c r="I26" s="1">
        <v>30</v>
      </c>
      <c r="J26" s="24">
        <f t="shared" ca="1" si="1"/>
        <v>161.82935118540877</v>
      </c>
      <c r="K26" s="24">
        <f t="shared" ca="1" si="2"/>
        <v>1059.9332532455044</v>
      </c>
      <c r="L26" s="58">
        <f t="shared" ca="1" si="5"/>
        <v>2.1777036147172271</v>
      </c>
    </row>
    <row r="27" spans="2:12" ht="12.75" customHeight="1">
      <c r="B27" s="3">
        <f t="shared" si="3"/>
        <v>2046</v>
      </c>
      <c r="C27" s="57">
        <f t="shared" si="7"/>
        <v>930</v>
      </c>
      <c r="D27" s="3">
        <f t="shared" si="8"/>
        <v>30</v>
      </c>
      <c r="E27" s="57"/>
      <c r="F27" s="24">
        <f t="shared" ca="1" si="6"/>
        <v>1989.9332532455044</v>
      </c>
      <c r="G27" s="23">
        <f t="shared" ca="1" si="4"/>
        <v>1.1000000000000001</v>
      </c>
      <c r="H27" s="57">
        <f t="shared" ca="1" si="0"/>
        <v>2188.926578570055</v>
      </c>
      <c r="I27" s="1">
        <v>30</v>
      </c>
      <c r="J27" s="24">
        <f t="shared" ca="1" si="1"/>
        <v>198.9933253245506</v>
      </c>
      <c r="K27" s="24">
        <f t="shared" ca="1" si="2"/>
        <v>1258.926578570055</v>
      </c>
      <c r="L27" s="58">
        <f t="shared" ca="1" si="5"/>
        <v>2.3536844930860807</v>
      </c>
    </row>
    <row r="28" spans="2:12" ht="12.75" customHeight="1">
      <c r="B28" s="3">
        <f t="shared" si="3"/>
        <v>2047</v>
      </c>
      <c r="C28" s="57">
        <f t="shared" si="7"/>
        <v>960</v>
      </c>
      <c r="D28" s="3">
        <f t="shared" si="8"/>
        <v>30</v>
      </c>
      <c r="E28" s="57"/>
      <c r="F28" s="24">
        <f t="shared" ca="1" si="6"/>
        <v>2218.926578570055</v>
      </c>
      <c r="G28" s="23">
        <f t="shared" ca="1" si="4"/>
        <v>0.95</v>
      </c>
      <c r="H28" s="57">
        <f t="shared" ca="1" si="0"/>
        <v>2107.9802496415523</v>
      </c>
      <c r="I28" s="1">
        <v>30</v>
      </c>
      <c r="J28" s="24">
        <f t="shared" ca="1" si="1"/>
        <v>-110.94632892850268</v>
      </c>
      <c r="K28" s="24">
        <f t="shared" ca="1" si="2"/>
        <v>1147.9802496415523</v>
      </c>
      <c r="L28" s="58">
        <f t="shared" ca="1" si="5"/>
        <v>2.1958127600432835</v>
      </c>
    </row>
    <row r="29" spans="2:12" ht="12.75" customHeight="1">
      <c r="B29" s="3">
        <f t="shared" si="3"/>
        <v>2048</v>
      </c>
      <c r="C29" s="57">
        <f t="shared" si="7"/>
        <v>990</v>
      </c>
      <c r="D29" s="3">
        <f t="shared" si="8"/>
        <v>30</v>
      </c>
      <c r="E29" s="57"/>
      <c r="F29" s="24">
        <f t="shared" ca="1" si="6"/>
        <v>2137.9802496415523</v>
      </c>
      <c r="G29" s="23">
        <f t="shared" ca="1" si="4"/>
        <v>1</v>
      </c>
      <c r="H29" s="57">
        <f t="shared" ca="1" si="0"/>
        <v>2137.9802496415523</v>
      </c>
      <c r="I29" s="1">
        <v>30</v>
      </c>
      <c r="J29" s="24">
        <f t="shared" ca="1" si="1"/>
        <v>0</v>
      </c>
      <c r="K29" s="24">
        <f t="shared" ca="1" si="2"/>
        <v>1147.9802496415523</v>
      </c>
      <c r="L29" s="58">
        <f t="shared" ca="1" si="5"/>
        <v>2.1595760097389416</v>
      </c>
    </row>
    <row r="30" spans="2:12" ht="12.75" customHeight="1">
      <c r="B30" s="3">
        <f t="shared" si="3"/>
        <v>2049</v>
      </c>
      <c r="C30" s="57">
        <f t="shared" si="7"/>
        <v>1020</v>
      </c>
      <c r="D30" s="3">
        <f t="shared" si="8"/>
        <v>30</v>
      </c>
      <c r="E30" s="57"/>
      <c r="F30" s="24">
        <f t="shared" ca="1" si="6"/>
        <v>2167.9802496415523</v>
      </c>
      <c r="G30" s="23">
        <f t="shared" ca="1" si="4"/>
        <v>1.08</v>
      </c>
      <c r="H30" s="57">
        <f t="shared" ca="1" si="0"/>
        <v>2341.4186696128768</v>
      </c>
      <c r="I30" s="1">
        <v>30</v>
      </c>
      <c r="J30" s="24">
        <f t="shared" ca="1" si="1"/>
        <v>173.43841997132449</v>
      </c>
      <c r="K30" s="24">
        <f t="shared" ca="1" si="2"/>
        <v>1321.4186696128768</v>
      </c>
      <c r="L30" s="58">
        <f t="shared" ca="1" si="5"/>
        <v>2.2955084996204675</v>
      </c>
    </row>
    <row r="31" spans="2:12" ht="12.75" customHeight="1">
      <c r="B31" s="3">
        <f t="shared" si="3"/>
        <v>2050</v>
      </c>
      <c r="C31" s="57">
        <f t="shared" si="7"/>
        <v>1050</v>
      </c>
      <c r="D31" s="3">
        <f t="shared" si="8"/>
        <v>30</v>
      </c>
      <c r="E31" s="57"/>
      <c r="F31" s="24">
        <f t="shared" ca="1" si="6"/>
        <v>2371.4186696128768</v>
      </c>
      <c r="G31" s="23">
        <f t="shared" ca="1" si="4"/>
        <v>1.07</v>
      </c>
      <c r="H31" s="57">
        <f t="shared" ca="1" si="0"/>
        <v>2537.4179764857781</v>
      </c>
      <c r="I31" s="1">
        <v>30</v>
      </c>
      <c r="J31" s="24">
        <f t="shared" ca="1" si="1"/>
        <v>165.99930687290134</v>
      </c>
      <c r="K31" s="24">
        <f t="shared" ca="1" si="2"/>
        <v>1487.4179764857781</v>
      </c>
      <c r="L31" s="58">
        <f ca="1">+H31/C31</f>
        <v>2.4165885490340746</v>
      </c>
    </row>
    <row r="32" spans="2:12" ht="12.75" customHeight="1">
      <c r="B32" s="1"/>
      <c r="C32" s="1"/>
      <c r="D32" s="1"/>
      <c r="E32" s="1"/>
      <c r="F32" s="1"/>
      <c r="G32" s="1"/>
      <c r="H32" s="57"/>
      <c r="I32" s="57"/>
      <c r="J32" s="1"/>
      <c r="K32" s="1"/>
      <c r="L32" s="58"/>
    </row>
    <row r="33" spans="2:11" ht="12.75" customHeight="1">
      <c r="B33" s="1"/>
      <c r="C33" s="1"/>
      <c r="D33" s="1"/>
      <c r="E33" s="1"/>
      <c r="F33" s="1"/>
      <c r="G33" s="25">
        <f ca="1">+AVERAGE(G6:G31)</f>
        <v>1.0503846153846157</v>
      </c>
      <c r="H33" s="57"/>
      <c r="I33" s="23"/>
      <c r="J33" s="1"/>
      <c r="K33" s="1"/>
    </row>
    <row r="34" spans="2:11">
      <c r="B34" s="1"/>
      <c r="C34" s="1"/>
      <c r="D34" s="1"/>
      <c r="E34" s="1"/>
      <c r="F34" s="1"/>
      <c r="G34" s="1"/>
      <c r="H34" s="1"/>
      <c r="I34" s="1"/>
      <c r="J34" s="1"/>
      <c r="K34" s="1"/>
    </row>
  </sheetData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C7B29-DA0E-48C6-88C6-A2C201C45BAB}">
  <sheetPr codeName="Sheet5"/>
  <dimension ref="A1:P35"/>
  <sheetViews>
    <sheetView zoomScaleNormal="100" workbookViewId="0">
      <selection activeCell="E14" sqref="E14"/>
    </sheetView>
  </sheetViews>
  <sheetFormatPr defaultRowHeight="18.75"/>
  <cols>
    <col min="1" max="1" width="5.75" customWidth="1"/>
    <col min="2" max="9" width="9.875" customWidth="1"/>
    <col min="16" max="16" width="11" customWidth="1"/>
  </cols>
  <sheetData>
    <row r="1" spans="1:16" ht="14.1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</row>
    <row r="2" spans="1:16" ht="14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2"/>
    </row>
    <row r="3" spans="1:16" ht="14.1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2"/>
    </row>
    <row r="4" spans="1:16" ht="14.1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2"/>
    </row>
    <row r="5" spans="1:16" ht="14.1" customHeight="1"/>
    <row r="6" spans="1:16" ht="14.1" customHeight="1"/>
    <row r="7" spans="1:16" ht="14.1" customHeight="1"/>
    <row r="8" spans="1:16" ht="14.1" customHeight="1"/>
    <row r="9" spans="1:16" ht="14.1" customHeight="1"/>
    <row r="10" spans="1:16" ht="14.1" customHeight="1"/>
    <row r="11" spans="1:16" ht="14.1" customHeight="1"/>
    <row r="12" spans="1:16" ht="14.1" customHeight="1">
      <c r="B12" s="10" t="s">
        <v>40</v>
      </c>
      <c r="C12" s="10" t="s">
        <v>42</v>
      </c>
      <c r="D12" s="10" t="s">
        <v>41</v>
      </c>
      <c r="E12" s="10" t="s">
        <v>68</v>
      </c>
      <c r="F12" s="10" t="s">
        <v>69</v>
      </c>
      <c r="G12" s="10" t="s">
        <v>47</v>
      </c>
      <c r="H12" s="9"/>
      <c r="I12" s="10" t="s">
        <v>43</v>
      </c>
      <c r="J12" s="10" t="s">
        <v>44</v>
      </c>
      <c r="K12" s="10" t="s">
        <v>45</v>
      </c>
      <c r="L12" s="10" t="s">
        <v>70</v>
      </c>
      <c r="M12" s="10" t="s">
        <v>46</v>
      </c>
      <c r="N12" s="10" t="s">
        <v>48</v>
      </c>
    </row>
    <row r="13" spans="1:16" ht="14.1" customHeight="1">
      <c r="B13" s="6">
        <v>450</v>
      </c>
      <c r="C13" s="8">
        <v>0.2</v>
      </c>
      <c r="D13" s="7">
        <f>+B13*C13</f>
        <v>90</v>
      </c>
      <c r="E13" s="7">
        <v>44</v>
      </c>
      <c r="F13" s="7">
        <f>+D13+E13</f>
        <v>134</v>
      </c>
      <c r="G13" s="7">
        <f>+B13-F13</f>
        <v>316</v>
      </c>
      <c r="H13" s="9"/>
      <c r="I13" s="7">
        <f>+G13</f>
        <v>316</v>
      </c>
      <c r="J13" s="8">
        <v>0.1</v>
      </c>
      <c r="K13" s="7">
        <f>+I13*J13</f>
        <v>31.6</v>
      </c>
      <c r="L13" s="7">
        <v>10</v>
      </c>
      <c r="M13" s="6">
        <f>+K13-L13</f>
        <v>21.6</v>
      </c>
      <c r="N13" s="11">
        <f>+M13/B13</f>
        <v>4.8000000000000001E-2</v>
      </c>
    </row>
    <row r="14" spans="1:16" ht="14.1" customHeight="1"/>
    <row r="15" spans="1:16" ht="14.1" customHeight="1"/>
    <row r="16" spans="1:16" ht="14.1" customHeight="1">
      <c r="B16" s="1" t="s">
        <v>57</v>
      </c>
      <c r="C16" s="1"/>
      <c r="D16" s="1"/>
      <c r="E16" s="1" t="s">
        <v>64</v>
      </c>
      <c r="F16" s="1"/>
      <c r="G16" s="1"/>
      <c r="H16" s="1"/>
      <c r="I16" s="1"/>
      <c r="J16" s="1"/>
      <c r="K16" s="1" t="s">
        <v>81</v>
      </c>
      <c r="L16" s="1"/>
      <c r="M16" s="1"/>
      <c r="N16" s="1"/>
      <c r="O16" s="1"/>
      <c r="P16" s="1"/>
    </row>
    <row r="17" spans="2:16" ht="24.75" customHeight="1">
      <c r="B17" s="4"/>
      <c r="C17" s="13" t="s">
        <v>62</v>
      </c>
      <c r="D17" s="13" t="s">
        <v>63</v>
      </c>
      <c r="E17" s="4">
        <v>5.0000000000000001E-3</v>
      </c>
      <c r="F17" s="4">
        <v>480</v>
      </c>
      <c r="G17" s="13" t="s">
        <v>66</v>
      </c>
      <c r="H17" s="4" t="s">
        <v>67</v>
      </c>
      <c r="I17" s="18" t="s">
        <v>65</v>
      </c>
      <c r="J17" s="4" t="s">
        <v>67</v>
      </c>
      <c r="K17" s="14" t="s">
        <v>58</v>
      </c>
      <c r="L17" s="14" t="s">
        <v>59</v>
      </c>
      <c r="M17" s="14" t="s">
        <v>60</v>
      </c>
      <c r="N17" s="14" t="s">
        <v>61</v>
      </c>
      <c r="O17" s="14" t="s">
        <v>54</v>
      </c>
      <c r="P17" s="26" t="s">
        <v>82</v>
      </c>
    </row>
    <row r="18" spans="2:16" ht="14.1" customHeight="1">
      <c r="B18" s="4">
        <v>300</v>
      </c>
      <c r="C18" s="5">
        <v>780000</v>
      </c>
      <c r="D18" s="5">
        <f t="shared" ref="D18:D32" si="0">+B18/12*10000</f>
        <v>250000</v>
      </c>
      <c r="E18" s="5">
        <f t="shared" ref="E18:E32" si="1">+D18*$E$17</f>
        <v>1250</v>
      </c>
      <c r="F18" s="5">
        <f t="shared" ref="F18:F32" si="2">+E18*$F$17</f>
        <v>600000</v>
      </c>
      <c r="G18" s="5">
        <f t="shared" ref="G18:G32" si="3">+C18+F18</f>
        <v>1380000</v>
      </c>
      <c r="H18" s="15">
        <f t="shared" ref="H18:H32" si="4">+G18/12</f>
        <v>115000</v>
      </c>
      <c r="I18" s="19">
        <f t="shared" ref="I18:I32" si="5">+C18+G18</f>
        <v>2160000</v>
      </c>
      <c r="J18" s="15">
        <f t="shared" ref="J18:J32" si="6">+I18/12</f>
        <v>180000</v>
      </c>
      <c r="K18" s="16">
        <v>360000</v>
      </c>
      <c r="L18" s="17">
        <v>11172</v>
      </c>
      <c r="M18" s="17">
        <v>20131</v>
      </c>
      <c r="N18" s="17">
        <v>18360</v>
      </c>
      <c r="O18" s="5">
        <f t="shared" ref="O18:O32" si="7">+K18-SUM(L18:N18)</f>
        <v>310337</v>
      </c>
      <c r="P18" s="26">
        <f>+O18*6</f>
        <v>1862022</v>
      </c>
    </row>
    <row r="19" spans="2:16" ht="14.1" customHeight="1">
      <c r="B19" s="4">
        <f t="shared" ref="B19:B32" si="8">+B18+50</f>
        <v>350</v>
      </c>
      <c r="C19" s="5">
        <v>780000</v>
      </c>
      <c r="D19" s="5">
        <f t="shared" si="0"/>
        <v>291666.66666666669</v>
      </c>
      <c r="E19" s="5">
        <f t="shared" si="1"/>
        <v>1458.3333333333335</v>
      </c>
      <c r="F19" s="5">
        <f t="shared" si="2"/>
        <v>700000.00000000012</v>
      </c>
      <c r="G19" s="5">
        <f t="shared" si="3"/>
        <v>1480000</v>
      </c>
      <c r="H19" s="15">
        <f t="shared" si="4"/>
        <v>123333.33333333333</v>
      </c>
      <c r="I19" s="19">
        <f t="shared" si="5"/>
        <v>2260000</v>
      </c>
      <c r="J19" s="15">
        <f t="shared" si="6"/>
        <v>188333.33333333334</v>
      </c>
      <c r="K19" s="16">
        <v>376667</v>
      </c>
      <c r="L19" s="17">
        <v>12419</v>
      </c>
      <c r="M19" s="17">
        <v>21377</v>
      </c>
      <c r="N19" s="17">
        <v>19227</v>
      </c>
      <c r="O19" s="5">
        <f t="shared" si="7"/>
        <v>323644</v>
      </c>
      <c r="P19" s="26">
        <f t="shared" ref="P19:P32" si="9">+O19*6</f>
        <v>1941864</v>
      </c>
    </row>
    <row r="20" spans="2:16" ht="14.1" customHeight="1">
      <c r="B20" s="4">
        <f t="shared" si="8"/>
        <v>400</v>
      </c>
      <c r="C20" s="5">
        <v>780000</v>
      </c>
      <c r="D20" s="5">
        <f t="shared" si="0"/>
        <v>333333.33333333337</v>
      </c>
      <c r="E20" s="5">
        <f t="shared" si="1"/>
        <v>1666.666666666667</v>
      </c>
      <c r="F20" s="5">
        <f t="shared" si="2"/>
        <v>800000.00000000012</v>
      </c>
      <c r="G20" s="5">
        <f t="shared" si="3"/>
        <v>1580000</v>
      </c>
      <c r="H20" s="15">
        <f t="shared" si="4"/>
        <v>131666.66666666666</v>
      </c>
      <c r="I20" s="19">
        <f t="shared" si="5"/>
        <v>2360000</v>
      </c>
      <c r="J20" s="15">
        <f t="shared" si="6"/>
        <v>196666.66666666666</v>
      </c>
      <c r="K20" s="16">
        <v>393333</v>
      </c>
      <c r="L20" s="17">
        <v>13666</v>
      </c>
      <c r="M20" s="17">
        <v>22624</v>
      </c>
      <c r="N20" s="17">
        <v>20094</v>
      </c>
      <c r="O20" s="5">
        <f t="shared" si="7"/>
        <v>336949</v>
      </c>
      <c r="P20" s="26">
        <f t="shared" si="9"/>
        <v>2021694</v>
      </c>
    </row>
    <row r="21" spans="2:16" ht="14.1" customHeight="1">
      <c r="B21" s="4">
        <f t="shared" si="8"/>
        <v>450</v>
      </c>
      <c r="C21" s="5">
        <v>780000</v>
      </c>
      <c r="D21" s="5">
        <f t="shared" si="0"/>
        <v>375000</v>
      </c>
      <c r="E21" s="5">
        <f t="shared" si="1"/>
        <v>1875</v>
      </c>
      <c r="F21" s="5">
        <f t="shared" si="2"/>
        <v>900000</v>
      </c>
      <c r="G21" s="5">
        <f t="shared" si="3"/>
        <v>1680000</v>
      </c>
      <c r="H21" s="15">
        <f t="shared" si="4"/>
        <v>140000</v>
      </c>
      <c r="I21" s="19">
        <f t="shared" si="5"/>
        <v>2460000</v>
      </c>
      <c r="J21" s="15">
        <f t="shared" si="6"/>
        <v>205000</v>
      </c>
      <c r="K21" s="16">
        <v>410000</v>
      </c>
      <c r="L21" s="17">
        <v>14917</v>
      </c>
      <c r="M21" s="17">
        <v>23876</v>
      </c>
      <c r="N21" s="17">
        <v>20910</v>
      </c>
      <c r="O21" s="5">
        <f t="shared" si="7"/>
        <v>350297</v>
      </c>
      <c r="P21" s="26">
        <f t="shared" si="9"/>
        <v>2101782</v>
      </c>
    </row>
    <row r="22" spans="2:16" ht="14.1" customHeight="1">
      <c r="B22" s="4">
        <f t="shared" si="8"/>
        <v>500</v>
      </c>
      <c r="C22" s="5">
        <v>780000</v>
      </c>
      <c r="D22" s="5">
        <f t="shared" si="0"/>
        <v>416666.66666666663</v>
      </c>
      <c r="E22" s="5">
        <f t="shared" si="1"/>
        <v>2083.333333333333</v>
      </c>
      <c r="F22" s="5">
        <f t="shared" si="2"/>
        <v>999999.99999999988</v>
      </c>
      <c r="G22" s="5">
        <f t="shared" si="3"/>
        <v>1780000</v>
      </c>
      <c r="H22" s="15">
        <f t="shared" si="4"/>
        <v>148333.33333333334</v>
      </c>
      <c r="I22" s="19">
        <f>+C22+G22</f>
        <v>2560000</v>
      </c>
      <c r="J22" s="15">
        <f t="shared" si="6"/>
        <v>213333.33333333334</v>
      </c>
      <c r="K22" s="16">
        <v>426667</v>
      </c>
      <c r="L22" s="17">
        <v>16164</v>
      </c>
      <c r="M22" s="17">
        <v>25122</v>
      </c>
      <c r="N22" s="17">
        <v>21777</v>
      </c>
      <c r="O22" s="5">
        <f t="shared" si="7"/>
        <v>363604</v>
      </c>
      <c r="P22" s="26">
        <f t="shared" si="9"/>
        <v>2181624</v>
      </c>
    </row>
    <row r="23" spans="2:16" ht="14.1" customHeight="1">
      <c r="B23" s="4">
        <f t="shared" si="8"/>
        <v>550</v>
      </c>
      <c r="C23" s="5">
        <v>780000</v>
      </c>
      <c r="D23" s="5">
        <f t="shared" si="0"/>
        <v>458333.33333333337</v>
      </c>
      <c r="E23" s="5">
        <f t="shared" si="1"/>
        <v>2291.666666666667</v>
      </c>
      <c r="F23" s="5">
        <f t="shared" si="2"/>
        <v>1100000.0000000002</v>
      </c>
      <c r="G23" s="5">
        <f t="shared" si="3"/>
        <v>1880000.0000000002</v>
      </c>
      <c r="H23" s="15">
        <f t="shared" si="4"/>
        <v>156666.66666666669</v>
      </c>
      <c r="I23" s="19">
        <f t="shared" si="5"/>
        <v>2660000</v>
      </c>
      <c r="J23" s="15">
        <f t="shared" si="6"/>
        <v>221666.66666666666</v>
      </c>
      <c r="K23" s="16">
        <v>443333</v>
      </c>
      <c r="L23" s="17">
        <v>17411</v>
      </c>
      <c r="M23" s="17">
        <v>26369</v>
      </c>
      <c r="N23" s="17">
        <v>22644</v>
      </c>
      <c r="O23" s="5">
        <f t="shared" si="7"/>
        <v>376909</v>
      </c>
      <c r="P23" s="26">
        <f t="shared" si="9"/>
        <v>2261454</v>
      </c>
    </row>
    <row r="24" spans="2:16" ht="14.1" customHeight="1">
      <c r="B24" s="4">
        <f t="shared" si="8"/>
        <v>600</v>
      </c>
      <c r="C24" s="5">
        <v>780000</v>
      </c>
      <c r="D24" s="5">
        <f t="shared" si="0"/>
        <v>500000</v>
      </c>
      <c r="E24" s="5">
        <f t="shared" si="1"/>
        <v>2500</v>
      </c>
      <c r="F24" s="5">
        <f t="shared" si="2"/>
        <v>1200000</v>
      </c>
      <c r="G24" s="5">
        <f t="shared" si="3"/>
        <v>1980000</v>
      </c>
      <c r="H24" s="15">
        <f t="shared" si="4"/>
        <v>165000</v>
      </c>
      <c r="I24" s="19">
        <f t="shared" si="5"/>
        <v>2760000</v>
      </c>
      <c r="J24" s="15">
        <f t="shared" si="6"/>
        <v>230000</v>
      </c>
      <c r="K24" s="16">
        <v>460000</v>
      </c>
      <c r="L24" s="17">
        <v>18662</v>
      </c>
      <c r="M24" s="17">
        <v>27621</v>
      </c>
      <c r="N24" s="17">
        <v>23460</v>
      </c>
      <c r="O24" s="5">
        <f t="shared" si="7"/>
        <v>390257</v>
      </c>
      <c r="P24" s="26">
        <f t="shared" si="9"/>
        <v>2341542</v>
      </c>
    </row>
    <row r="25" spans="2:16" ht="14.1" customHeight="1">
      <c r="B25" s="4">
        <f t="shared" si="8"/>
        <v>650</v>
      </c>
      <c r="C25" s="5">
        <v>780000</v>
      </c>
      <c r="D25" s="5">
        <f t="shared" si="0"/>
        <v>541666.66666666663</v>
      </c>
      <c r="E25" s="5">
        <f t="shared" si="1"/>
        <v>2708.333333333333</v>
      </c>
      <c r="F25" s="5">
        <f t="shared" si="2"/>
        <v>1299999.9999999998</v>
      </c>
      <c r="G25" s="5">
        <f t="shared" si="3"/>
        <v>2079999.9999999998</v>
      </c>
      <c r="H25" s="15">
        <f t="shared" si="4"/>
        <v>173333.33333333331</v>
      </c>
      <c r="I25" s="19">
        <f t="shared" si="5"/>
        <v>2860000</v>
      </c>
      <c r="J25" s="15">
        <f t="shared" si="6"/>
        <v>238333.33333333334</v>
      </c>
      <c r="K25" s="16">
        <v>476667</v>
      </c>
      <c r="L25" s="17">
        <v>20443</v>
      </c>
      <c r="M25" s="17">
        <v>28867</v>
      </c>
      <c r="N25" s="17">
        <v>24327</v>
      </c>
      <c r="O25" s="5">
        <f t="shared" si="7"/>
        <v>403030</v>
      </c>
      <c r="P25" s="26">
        <f t="shared" si="9"/>
        <v>2418180</v>
      </c>
    </row>
    <row r="26" spans="2:16" ht="14.1" customHeight="1">
      <c r="B26" s="4">
        <f t="shared" si="8"/>
        <v>700</v>
      </c>
      <c r="C26" s="5">
        <v>780000</v>
      </c>
      <c r="D26" s="5">
        <f t="shared" si="0"/>
        <v>583333.33333333337</v>
      </c>
      <c r="E26" s="5">
        <f t="shared" si="1"/>
        <v>2916.666666666667</v>
      </c>
      <c r="F26" s="5">
        <f t="shared" si="2"/>
        <v>1400000.0000000002</v>
      </c>
      <c r="G26" s="5">
        <f t="shared" si="3"/>
        <v>2180000</v>
      </c>
      <c r="H26" s="15">
        <f t="shared" si="4"/>
        <v>181666.66666666666</v>
      </c>
      <c r="I26" s="19">
        <f t="shared" si="5"/>
        <v>2960000</v>
      </c>
      <c r="J26" s="15">
        <f t="shared" si="6"/>
        <v>246666.66666666666</v>
      </c>
      <c r="K26" s="16">
        <v>493333</v>
      </c>
      <c r="L26" s="17">
        <v>22936</v>
      </c>
      <c r="M26" s="17">
        <v>30114</v>
      </c>
      <c r="N26" s="17">
        <v>25194</v>
      </c>
      <c r="O26" s="5">
        <f t="shared" si="7"/>
        <v>415089</v>
      </c>
      <c r="P26" s="26">
        <f t="shared" si="9"/>
        <v>2490534</v>
      </c>
    </row>
    <row r="27" spans="2:16" ht="14.1" customHeight="1">
      <c r="B27" s="4">
        <f t="shared" si="8"/>
        <v>750</v>
      </c>
      <c r="C27" s="5">
        <v>780000</v>
      </c>
      <c r="D27" s="5">
        <f t="shared" si="0"/>
        <v>625000</v>
      </c>
      <c r="E27" s="5">
        <f t="shared" si="1"/>
        <v>3125</v>
      </c>
      <c r="F27" s="5">
        <f t="shared" si="2"/>
        <v>1500000</v>
      </c>
      <c r="G27" s="5">
        <f t="shared" si="3"/>
        <v>2280000</v>
      </c>
      <c r="H27" s="15">
        <f t="shared" si="4"/>
        <v>190000</v>
      </c>
      <c r="I27" s="19">
        <f t="shared" si="5"/>
        <v>3060000</v>
      </c>
      <c r="J27" s="15">
        <f t="shared" si="6"/>
        <v>255000</v>
      </c>
      <c r="K27" s="16">
        <v>510000</v>
      </c>
      <c r="L27" s="17">
        <v>25440</v>
      </c>
      <c r="M27" s="17">
        <v>31366</v>
      </c>
      <c r="N27" s="17">
        <v>26010</v>
      </c>
      <c r="O27" s="5">
        <f t="shared" si="7"/>
        <v>427184</v>
      </c>
      <c r="P27" s="26">
        <f t="shared" si="9"/>
        <v>2563104</v>
      </c>
    </row>
    <row r="28" spans="2:16" ht="14.1" customHeight="1">
      <c r="B28" s="4">
        <f t="shared" si="8"/>
        <v>800</v>
      </c>
      <c r="C28" s="5">
        <v>780000</v>
      </c>
      <c r="D28" s="5">
        <f t="shared" si="0"/>
        <v>666666.66666666674</v>
      </c>
      <c r="E28" s="5">
        <f t="shared" si="1"/>
        <v>3333.3333333333339</v>
      </c>
      <c r="F28" s="5">
        <f t="shared" si="2"/>
        <v>1600000.0000000002</v>
      </c>
      <c r="G28" s="5">
        <f t="shared" si="3"/>
        <v>2380000</v>
      </c>
      <c r="H28" s="15">
        <f t="shared" si="4"/>
        <v>198333.33333333334</v>
      </c>
      <c r="I28" s="19">
        <f t="shared" si="5"/>
        <v>3160000</v>
      </c>
      <c r="J28" s="15">
        <f t="shared" si="6"/>
        <v>263333.33333333331</v>
      </c>
      <c r="K28" s="16">
        <v>526667</v>
      </c>
      <c r="L28" s="17">
        <v>27933</v>
      </c>
      <c r="M28" s="17">
        <v>32612</v>
      </c>
      <c r="N28" s="17">
        <v>26877</v>
      </c>
      <c r="O28" s="5">
        <f t="shared" si="7"/>
        <v>439245</v>
      </c>
      <c r="P28" s="26">
        <f t="shared" si="9"/>
        <v>2635470</v>
      </c>
    </row>
    <row r="29" spans="2:16" ht="14.1" customHeight="1">
      <c r="B29" s="4">
        <f t="shared" si="8"/>
        <v>850</v>
      </c>
      <c r="C29" s="5">
        <v>780000</v>
      </c>
      <c r="D29" s="5">
        <f t="shared" si="0"/>
        <v>708333.33333333326</v>
      </c>
      <c r="E29" s="5">
        <f t="shared" si="1"/>
        <v>3541.6666666666665</v>
      </c>
      <c r="F29" s="5">
        <f t="shared" si="2"/>
        <v>1700000</v>
      </c>
      <c r="G29" s="5">
        <f t="shared" si="3"/>
        <v>2480000</v>
      </c>
      <c r="H29" s="15">
        <f t="shared" si="4"/>
        <v>206666.66666666666</v>
      </c>
      <c r="I29" s="19">
        <f t="shared" si="5"/>
        <v>3260000</v>
      </c>
      <c r="J29" s="15">
        <f t="shared" si="6"/>
        <v>271666.66666666669</v>
      </c>
      <c r="K29" s="16">
        <v>543333</v>
      </c>
      <c r="L29" s="17">
        <v>30426</v>
      </c>
      <c r="M29" s="17">
        <v>33859</v>
      </c>
      <c r="N29" s="17">
        <v>27744</v>
      </c>
      <c r="O29" s="5">
        <f t="shared" si="7"/>
        <v>451304</v>
      </c>
      <c r="P29" s="26">
        <f t="shared" si="9"/>
        <v>2707824</v>
      </c>
    </row>
    <row r="30" spans="2:16" ht="14.1" customHeight="1">
      <c r="B30" s="4">
        <f t="shared" si="8"/>
        <v>900</v>
      </c>
      <c r="C30" s="5">
        <v>780000</v>
      </c>
      <c r="D30" s="5">
        <f t="shared" si="0"/>
        <v>750000</v>
      </c>
      <c r="E30" s="5">
        <f t="shared" si="1"/>
        <v>3750</v>
      </c>
      <c r="F30" s="5">
        <f t="shared" si="2"/>
        <v>1800000</v>
      </c>
      <c r="G30" s="5">
        <f t="shared" si="3"/>
        <v>2580000</v>
      </c>
      <c r="H30" s="15">
        <f t="shared" si="4"/>
        <v>215000</v>
      </c>
      <c r="I30" s="19">
        <f t="shared" si="5"/>
        <v>3360000</v>
      </c>
      <c r="J30" s="15">
        <f t="shared" si="6"/>
        <v>280000</v>
      </c>
      <c r="K30" s="16">
        <v>560000</v>
      </c>
      <c r="L30" s="17">
        <v>32930</v>
      </c>
      <c r="M30" s="17">
        <v>35111</v>
      </c>
      <c r="N30" s="17">
        <v>28560</v>
      </c>
      <c r="O30" s="5">
        <f t="shared" si="7"/>
        <v>463399</v>
      </c>
      <c r="P30" s="26">
        <f t="shared" si="9"/>
        <v>2780394</v>
      </c>
    </row>
    <row r="31" spans="2:16" ht="14.1" customHeight="1">
      <c r="B31" s="4">
        <f t="shared" si="8"/>
        <v>950</v>
      </c>
      <c r="C31" s="5">
        <v>780000</v>
      </c>
      <c r="D31" s="5">
        <f t="shared" si="0"/>
        <v>791666.66666666674</v>
      </c>
      <c r="E31" s="5">
        <f t="shared" si="1"/>
        <v>3958.3333333333339</v>
      </c>
      <c r="F31" s="5">
        <f t="shared" si="2"/>
        <v>1900000.0000000002</v>
      </c>
      <c r="G31" s="5">
        <f t="shared" si="3"/>
        <v>2680000</v>
      </c>
      <c r="H31" s="15">
        <f t="shared" si="4"/>
        <v>223333.33333333334</v>
      </c>
      <c r="I31" s="19">
        <f t="shared" si="5"/>
        <v>3460000</v>
      </c>
      <c r="J31" s="15">
        <f t="shared" si="6"/>
        <v>288333.33333333331</v>
      </c>
      <c r="K31" s="16">
        <v>576667</v>
      </c>
      <c r="L31" s="17">
        <v>35423</v>
      </c>
      <c r="M31" s="17">
        <v>36357</v>
      </c>
      <c r="N31" s="17">
        <v>29427</v>
      </c>
      <c r="O31" s="5">
        <f t="shared" si="7"/>
        <v>475460</v>
      </c>
      <c r="P31" s="26">
        <f t="shared" si="9"/>
        <v>2852760</v>
      </c>
    </row>
    <row r="32" spans="2:16" ht="14.1" customHeight="1">
      <c r="B32" s="4">
        <f t="shared" si="8"/>
        <v>1000</v>
      </c>
      <c r="C32" s="5">
        <v>780000</v>
      </c>
      <c r="D32" s="5">
        <f t="shared" si="0"/>
        <v>833333.33333333326</v>
      </c>
      <c r="E32" s="5">
        <f t="shared" si="1"/>
        <v>4166.6666666666661</v>
      </c>
      <c r="F32" s="5">
        <f t="shared" si="2"/>
        <v>1999999.9999999998</v>
      </c>
      <c r="G32" s="5">
        <f t="shared" si="3"/>
        <v>2780000</v>
      </c>
      <c r="H32" s="15">
        <f t="shared" si="4"/>
        <v>231666.66666666666</v>
      </c>
      <c r="I32" s="19">
        <f t="shared" si="5"/>
        <v>3560000</v>
      </c>
      <c r="J32" s="15">
        <f t="shared" si="6"/>
        <v>296666.66666666669</v>
      </c>
      <c r="K32" s="16">
        <v>593333</v>
      </c>
      <c r="L32" s="17">
        <v>37916</v>
      </c>
      <c r="M32" s="17">
        <v>37604</v>
      </c>
      <c r="N32" s="17">
        <v>30294</v>
      </c>
      <c r="O32" s="5">
        <f t="shared" si="7"/>
        <v>487519</v>
      </c>
      <c r="P32" s="26">
        <f t="shared" si="9"/>
        <v>2925114</v>
      </c>
    </row>
    <row r="33" spans="2:16" ht="14.1" customHeight="1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14.1" customHeight="1"/>
    <row r="35" spans="2:16" ht="14.1" customHeight="1"/>
  </sheetData>
  <phoneticPr fontId="2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2F750-6DFB-4F1B-BBDA-75F77CE08791}">
  <sheetPr codeName="Sheet6"/>
  <dimension ref="A1:I38"/>
  <sheetViews>
    <sheetView workbookViewId="0">
      <selection activeCell="D38" sqref="D38"/>
    </sheetView>
  </sheetViews>
  <sheetFormatPr defaultRowHeight="18.75"/>
  <cols>
    <col min="1" max="1" width="5.5" customWidth="1"/>
    <col min="2" max="2" width="12.75" customWidth="1"/>
    <col min="3" max="3" width="17.5" customWidth="1"/>
    <col min="4" max="4" width="11.5" customWidth="1"/>
    <col min="5" max="5" width="10.25" bestFit="1" customWidth="1"/>
    <col min="6" max="8" width="8.875" customWidth="1"/>
  </cols>
  <sheetData>
    <row r="1" spans="1:9" ht="12" customHeight="1">
      <c r="A1" s="34"/>
      <c r="B1" s="34"/>
      <c r="C1" s="34"/>
      <c r="D1" s="34"/>
      <c r="E1" s="34"/>
      <c r="F1" s="34"/>
      <c r="G1" s="34"/>
      <c r="H1" s="34"/>
    </row>
    <row r="2" spans="1:9" ht="12" customHeight="1">
      <c r="A2" s="35"/>
      <c r="B2" s="35"/>
      <c r="C2" s="36" t="s">
        <v>37</v>
      </c>
      <c r="D2" s="36"/>
      <c r="E2" s="34"/>
      <c r="F2" s="35"/>
      <c r="G2" s="35"/>
      <c r="H2" s="34"/>
    </row>
    <row r="3" spans="1:9" ht="12" customHeight="1">
      <c r="A3" s="35"/>
      <c r="B3" s="35"/>
      <c r="C3" s="37" t="s">
        <v>9</v>
      </c>
      <c r="D3" s="38">
        <v>4100000</v>
      </c>
      <c r="E3" s="35"/>
      <c r="F3" s="35"/>
      <c r="G3" s="35"/>
      <c r="H3" s="34"/>
    </row>
    <row r="4" spans="1:9" ht="12" customHeight="1">
      <c r="A4" s="35"/>
      <c r="B4" s="35"/>
      <c r="C4" s="37" t="s">
        <v>32</v>
      </c>
      <c r="D4" s="38">
        <v>1000000</v>
      </c>
      <c r="E4" s="35"/>
      <c r="F4" s="35"/>
      <c r="G4" s="35"/>
      <c r="H4" s="34"/>
    </row>
    <row r="5" spans="1:9" ht="12" customHeight="1">
      <c r="A5" s="35"/>
      <c r="B5" s="35"/>
      <c r="C5" s="37" t="s">
        <v>24</v>
      </c>
      <c r="D5" s="38">
        <v>800000</v>
      </c>
      <c r="E5" s="35"/>
      <c r="F5" s="35"/>
      <c r="G5" s="35"/>
      <c r="H5" s="35"/>
      <c r="I5" s="1"/>
    </row>
    <row r="6" spans="1:9" ht="12" customHeight="1">
      <c r="A6" s="35"/>
      <c r="B6" s="35"/>
      <c r="C6" s="37" t="s">
        <v>25</v>
      </c>
      <c r="D6" s="38">
        <v>300000</v>
      </c>
      <c r="E6" s="35"/>
      <c r="F6" s="35"/>
      <c r="G6" s="34"/>
      <c r="H6" s="34"/>
      <c r="I6" s="1"/>
    </row>
    <row r="7" spans="1:9" ht="12" customHeight="1">
      <c r="A7" s="35"/>
      <c r="B7" s="35"/>
      <c r="C7" s="39" t="s">
        <v>26</v>
      </c>
      <c r="D7" s="40">
        <v>1400000</v>
      </c>
      <c r="E7" s="35"/>
      <c r="F7" s="34"/>
      <c r="G7" s="34"/>
      <c r="H7" s="34"/>
      <c r="I7" s="1"/>
    </row>
    <row r="8" spans="1:9" ht="12" customHeight="1">
      <c r="A8" s="35"/>
      <c r="B8" s="35"/>
      <c r="C8" s="39" t="s">
        <v>50</v>
      </c>
      <c r="D8" s="40">
        <v>500000</v>
      </c>
      <c r="E8" s="41">
        <f>SUM(D3:D8)</f>
        <v>8100000</v>
      </c>
      <c r="F8" s="34"/>
      <c r="G8" s="34"/>
      <c r="H8" s="34"/>
      <c r="I8" s="1"/>
    </row>
    <row r="9" spans="1:9" ht="12" customHeight="1">
      <c r="A9" s="35"/>
      <c r="B9" s="42"/>
      <c r="C9" s="42"/>
      <c r="D9" s="35"/>
      <c r="E9" s="35"/>
      <c r="F9" s="34"/>
      <c r="G9" s="34"/>
      <c r="H9" s="34"/>
      <c r="I9" s="1"/>
    </row>
    <row r="10" spans="1:9" ht="12" customHeight="1">
      <c r="A10" s="35"/>
      <c r="B10" s="34"/>
      <c r="C10" s="43" t="s">
        <v>38</v>
      </c>
      <c r="D10" s="43"/>
      <c r="E10" s="34"/>
      <c r="F10" s="34"/>
      <c r="G10" s="34"/>
      <c r="H10" s="34"/>
      <c r="I10" s="1"/>
    </row>
    <row r="11" spans="1:9" ht="12" customHeight="1">
      <c r="A11" s="35"/>
      <c r="B11" s="34"/>
      <c r="C11" s="44" t="s">
        <v>21</v>
      </c>
      <c r="D11" s="45">
        <v>180000</v>
      </c>
      <c r="E11" s="46"/>
      <c r="F11" s="35"/>
      <c r="G11" s="35"/>
      <c r="H11" s="35"/>
      <c r="I11" s="1"/>
    </row>
    <row r="12" spans="1:9" ht="12" customHeight="1">
      <c r="A12" s="35"/>
      <c r="B12" s="34"/>
      <c r="C12" s="44" t="s">
        <v>22</v>
      </c>
      <c r="D12" s="45">
        <v>50000</v>
      </c>
      <c r="E12" s="35"/>
      <c r="F12" s="35"/>
      <c r="G12" s="35"/>
      <c r="H12" s="35"/>
      <c r="I12" s="1"/>
    </row>
    <row r="13" spans="1:9" ht="12" customHeight="1">
      <c r="A13" s="35"/>
      <c r="B13" s="34"/>
      <c r="C13" s="44" t="s">
        <v>71</v>
      </c>
      <c r="D13" s="45">
        <v>50000</v>
      </c>
      <c r="E13" s="46">
        <f>SUM(D11:D13)</f>
        <v>280000</v>
      </c>
      <c r="F13" s="35"/>
      <c r="G13" s="35"/>
      <c r="H13" s="34"/>
    </row>
    <row r="14" spans="1:9" ht="12" customHeight="1">
      <c r="A14" s="35"/>
      <c r="B14" s="34"/>
      <c r="C14" s="34"/>
      <c r="D14" s="34"/>
      <c r="E14" s="35"/>
      <c r="F14" s="34"/>
      <c r="G14" s="34"/>
      <c r="H14" s="34"/>
    </row>
    <row r="15" spans="1:9" ht="12" customHeight="1">
      <c r="A15" s="35"/>
      <c r="B15" s="34"/>
      <c r="C15" s="34"/>
      <c r="D15" s="34"/>
      <c r="E15" s="35"/>
      <c r="F15" s="34"/>
      <c r="G15" s="34"/>
      <c r="H15" s="34"/>
    </row>
    <row r="16" spans="1:9" ht="12" customHeight="1">
      <c r="A16" s="35"/>
      <c r="B16" s="34"/>
      <c r="C16" s="43" t="s">
        <v>72</v>
      </c>
      <c r="D16" s="43"/>
      <c r="E16" s="35"/>
      <c r="F16" s="34"/>
      <c r="G16" s="34"/>
      <c r="H16" s="34"/>
    </row>
    <row r="17" spans="1:9" ht="12" customHeight="1">
      <c r="A17" s="35"/>
      <c r="B17" s="39" t="s">
        <v>13</v>
      </c>
      <c r="C17" s="39" t="s">
        <v>131</v>
      </c>
      <c r="D17" s="40">
        <v>60000</v>
      </c>
      <c r="E17" s="35"/>
      <c r="F17" s="34"/>
      <c r="G17" s="34"/>
      <c r="H17" s="34"/>
    </row>
    <row r="18" spans="1:9" ht="12" customHeight="1">
      <c r="A18" s="35"/>
      <c r="B18" s="39"/>
      <c r="C18" s="39" t="s">
        <v>39</v>
      </c>
      <c r="D18" s="45">
        <v>100000</v>
      </c>
      <c r="E18" s="35"/>
      <c r="F18" s="35"/>
      <c r="G18" s="35"/>
      <c r="H18" s="34"/>
    </row>
    <row r="19" spans="1:9" ht="12" customHeight="1">
      <c r="A19" s="35"/>
      <c r="B19" s="39"/>
      <c r="C19" s="39" t="s">
        <v>132</v>
      </c>
      <c r="D19" s="45">
        <v>20000</v>
      </c>
      <c r="E19" s="35"/>
      <c r="F19" s="35"/>
      <c r="G19" s="35"/>
      <c r="H19" s="34"/>
    </row>
    <row r="20" spans="1:9" ht="12" customHeight="1">
      <c r="A20" s="35"/>
      <c r="B20" s="37" t="s">
        <v>16</v>
      </c>
      <c r="C20" s="37" t="s">
        <v>33</v>
      </c>
      <c r="D20" s="38">
        <v>50000</v>
      </c>
      <c r="E20" s="35"/>
      <c r="F20" s="35"/>
      <c r="G20" s="35"/>
      <c r="H20" s="34"/>
    </row>
    <row r="21" spans="1:9" ht="12" customHeight="1">
      <c r="A21" s="35"/>
      <c r="B21" s="39"/>
      <c r="C21" s="37" t="s">
        <v>133</v>
      </c>
      <c r="D21" s="38">
        <v>10000</v>
      </c>
      <c r="E21" s="35"/>
      <c r="F21" s="35"/>
      <c r="G21" s="35"/>
      <c r="H21" s="34"/>
    </row>
    <row r="22" spans="1:9" ht="12" customHeight="1">
      <c r="A22" s="35"/>
      <c r="B22" s="37"/>
      <c r="C22" s="37" t="s">
        <v>19</v>
      </c>
      <c r="D22" s="38">
        <v>15000</v>
      </c>
      <c r="E22" s="35"/>
      <c r="F22" s="35"/>
      <c r="G22" s="35"/>
      <c r="H22" s="34"/>
    </row>
    <row r="23" spans="1:9" ht="12" customHeight="1">
      <c r="A23" s="35"/>
      <c r="B23" s="39" t="s">
        <v>73</v>
      </c>
      <c r="C23" s="39" t="s">
        <v>14</v>
      </c>
      <c r="D23" s="40">
        <v>100000</v>
      </c>
      <c r="E23" s="35"/>
      <c r="F23" s="35"/>
      <c r="G23" s="35"/>
      <c r="H23" s="34"/>
    </row>
    <row r="24" spans="1:9" ht="12" customHeight="1">
      <c r="A24" s="35"/>
      <c r="B24" s="39"/>
      <c r="C24" s="39" t="s">
        <v>23</v>
      </c>
      <c r="D24" s="45">
        <v>200000</v>
      </c>
      <c r="E24" s="35"/>
      <c r="F24" s="35"/>
      <c r="G24" s="35"/>
      <c r="H24" s="34"/>
    </row>
    <row r="25" spans="1:9" ht="12" customHeight="1">
      <c r="A25" s="35"/>
      <c r="B25" s="39" t="s">
        <v>13</v>
      </c>
      <c r="C25" s="39" t="s">
        <v>34</v>
      </c>
      <c r="D25" s="40">
        <v>10000</v>
      </c>
      <c r="E25" s="35"/>
      <c r="F25" s="35"/>
      <c r="G25" s="35"/>
      <c r="H25" s="34"/>
    </row>
    <row r="26" spans="1:9" ht="12" customHeight="1">
      <c r="A26" s="35"/>
      <c r="B26" s="37" t="s">
        <v>16</v>
      </c>
      <c r="C26" s="37" t="s">
        <v>17</v>
      </c>
      <c r="D26" s="38">
        <v>20000</v>
      </c>
      <c r="E26" s="35"/>
      <c r="F26" s="35"/>
      <c r="G26" s="35"/>
      <c r="H26" s="47"/>
    </row>
    <row r="27" spans="1:9" ht="12" customHeight="1">
      <c r="A27" s="35"/>
      <c r="B27" s="37" t="s">
        <v>15</v>
      </c>
      <c r="C27" s="37" t="s">
        <v>12</v>
      </c>
      <c r="D27" s="38">
        <v>12000</v>
      </c>
      <c r="E27" s="35"/>
      <c r="F27" s="35"/>
      <c r="G27" s="35"/>
      <c r="H27" s="47"/>
    </row>
    <row r="28" spans="1:9" ht="12" customHeight="1">
      <c r="A28" s="35"/>
      <c r="B28" s="39" t="s">
        <v>15</v>
      </c>
      <c r="C28" s="39" t="s">
        <v>35</v>
      </c>
      <c r="D28" s="48">
        <v>20000</v>
      </c>
      <c r="E28" s="35"/>
      <c r="F28" s="35"/>
      <c r="G28" s="35"/>
      <c r="H28" s="47"/>
      <c r="I28" s="22"/>
    </row>
    <row r="29" spans="1:9" ht="12" customHeight="1">
      <c r="A29" s="35"/>
      <c r="B29" s="39" t="s">
        <v>15</v>
      </c>
      <c r="C29" s="39" t="s">
        <v>20</v>
      </c>
      <c r="D29" s="48">
        <v>100000</v>
      </c>
      <c r="E29" s="35"/>
      <c r="F29" s="35"/>
      <c r="G29" s="35"/>
      <c r="H29" s="47"/>
    </row>
    <row r="30" spans="1:9" ht="12" customHeight="1">
      <c r="A30" s="35"/>
      <c r="B30" s="39"/>
      <c r="C30" s="39" t="s">
        <v>36</v>
      </c>
      <c r="D30" s="48">
        <v>200000</v>
      </c>
      <c r="E30" s="35"/>
      <c r="F30" s="35"/>
      <c r="G30" s="35"/>
      <c r="H30" s="34"/>
    </row>
    <row r="31" spans="1:9" ht="12" customHeight="1">
      <c r="A31" s="35"/>
      <c r="B31" s="38" t="s">
        <v>18</v>
      </c>
      <c r="C31" s="38" t="s">
        <v>28</v>
      </c>
      <c r="D31" s="38">
        <v>10000</v>
      </c>
      <c r="E31" s="35"/>
      <c r="F31" s="35"/>
      <c r="G31" s="35"/>
      <c r="H31" s="34"/>
    </row>
    <row r="32" spans="1:9" ht="12" customHeight="1">
      <c r="A32" s="35"/>
      <c r="B32" s="38" t="s">
        <v>30</v>
      </c>
      <c r="C32" s="38" t="s">
        <v>31</v>
      </c>
      <c r="D32" s="38">
        <v>5000</v>
      </c>
      <c r="E32" s="46">
        <f>+SUM(D17:D32)</f>
        <v>932000</v>
      </c>
      <c r="F32" s="35"/>
      <c r="G32" s="35"/>
      <c r="H32" s="34"/>
    </row>
    <row r="33" spans="1:8" ht="12" customHeight="1">
      <c r="A33" s="34"/>
      <c r="B33" s="34"/>
      <c r="C33" s="34"/>
      <c r="D33" s="34"/>
      <c r="E33" s="35"/>
      <c r="F33" s="34"/>
      <c r="G33" s="34"/>
      <c r="H33" s="34"/>
    </row>
    <row r="34" spans="1:8" ht="15" customHeight="1">
      <c r="A34" s="34"/>
      <c r="B34" s="34"/>
      <c r="C34" s="47" t="s">
        <v>74</v>
      </c>
      <c r="D34" s="49"/>
      <c r="E34" s="46">
        <f>+SUM(E3:E33)</f>
        <v>9312000</v>
      </c>
      <c r="F34" s="34"/>
      <c r="G34" s="34"/>
      <c r="H34" s="34"/>
    </row>
    <row r="35" spans="1:8" ht="15" customHeight="1">
      <c r="A35" s="34"/>
      <c r="B35" s="34"/>
      <c r="C35" s="34"/>
      <c r="D35" s="34"/>
      <c r="E35" s="51">
        <v>-5000000</v>
      </c>
      <c r="F35" s="34"/>
      <c r="G35" s="34"/>
      <c r="H35" s="34"/>
    </row>
    <row r="36" spans="1:8" ht="15" customHeight="1">
      <c r="A36" s="34"/>
      <c r="B36" s="34"/>
      <c r="C36" s="34"/>
      <c r="D36" s="34"/>
      <c r="E36" s="51">
        <v>-1180000</v>
      </c>
      <c r="F36" s="34"/>
      <c r="G36" s="34"/>
      <c r="H36" s="34"/>
    </row>
    <row r="37" spans="1:8" ht="15" customHeight="1">
      <c r="A37" s="34"/>
      <c r="B37" s="34"/>
      <c r="C37" s="34"/>
      <c r="D37" s="34" t="s">
        <v>75</v>
      </c>
      <c r="E37" s="50">
        <f>+E34+E35+E36</f>
        <v>3132000</v>
      </c>
      <c r="F37" s="34"/>
      <c r="G37" s="34"/>
      <c r="H37" s="34"/>
    </row>
    <row r="38" spans="1:8" ht="15" customHeight="1">
      <c r="A38" s="34"/>
      <c r="B38" s="34"/>
      <c r="C38" s="34"/>
      <c r="D38" s="34"/>
      <c r="E38" s="35"/>
      <c r="F38" s="34"/>
      <c r="G38" s="34"/>
      <c r="H38" s="34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C8C03-2959-438F-9645-50FE652E6508}">
  <sheetPr codeName="Sheet3"/>
  <dimension ref="A1:L45"/>
  <sheetViews>
    <sheetView zoomScale="92" zoomScaleNormal="100" workbookViewId="0">
      <selection activeCell="O23" sqref="O23"/>
    </sheetView>
  </sheetViews>
  <sheetFormatPr defaultRowHeight="18.75"/>
  <cols>
    <col min="2" max="5" width="8.5" style="27" customWidth="1"/>
    <col min="6" max="6" width="8.5" customWidth="1"/>
    <col min="7" max="7" width="9.25" bestFit="1" customWidth="1"/>
    <col min="8" max="9" width="10.25" bestFit="1" customWidth="1"/>
    <col min="10" max="10" width="10.375" customWidth="1"/>
    <col min="11" max="12" width="8.5" customWidth="1"/>
  </cols>
  <sheetData>
    <row r="1" spans="1:12" ht="14.1" customHeight="1" thickBot="1">
      <c r="A1" s="28"/>
      <c r="B1" s="29"/>
      <c r="C1" s="29"/>
      <c r="D1" s="29"/>
      <c r="E1" s="29"/>
      <c r="F1" s="28"/>
      <c r="G1" s="28"/>
      <c r="H1" s="28"/>
      <c r="I1" s="53" t="s">
        <v>83</v>
      </c>
      <c r="J1" s="53" t="s">
        <v>84</v>
      </c>
      <c r="K1" s="53" t="s">
        <v>1</v>
      </c>
      <c r="L1" s="53"/>
    </row>
    <row r="2" spans="1:12" ht="14.1" customHeight="1" thickTop="1" thickBot="1">
      <c r="A2" s="28"/>
      <c r="B2" s="29"/>
      <c r="C2" s="29"/>
      <c r="D2" s="29"/>
      <c r="E2" s="29"/>
      <c r="F2" s="28"/>
      <c r="G2" s="28"/>
      <c r="H2" s="28"/>
      <c r="I2" s="53">
        <v>150000</v>
      </c>
      <c r="J2" s="53">
        <f>11000*12</f>
        <v>132000</v>
      </c>
      <c r="K2" s="53">
        <f>13000*12</f>
        <v>156000</v>
      </c>
      <c r="L2" s="53">
        <f>SUM(I2:K2)</f>
        <v>438000</v>
      </c>
    </row>
    <row r="3" spans="1:12" ht="14.1" customHeight="1" thickTop="1">
      <c r="A3" s="28"/>
      <c r="B3" s="29"/>
      <c r="C3" s="29"/>
      <c r="D3" s="29"/>
      <c r="E3" s="20" t="s">
        <v>130</v>
      </c>
      <c r="F3" s="30" t="s">
        <v>85</v>
      </c>
      <c r="G3" s="20" t="s">
        <v>139</v>
      </c>
      <c r="H3" s="32">
        <v>98000</v>
      </c>
      <c r="I3" s="55" t="s">
        <v>138</v>
      </c>
      <c r="K3" s="29" t="s">
        <v>137</v>
      </c>
    </row>
    <row r="4" spans="1:12" ht="14.1" customHeight="1">
      <c r="A4" s="28">
        <v>1</v>
      </c>
      <c r="B4" s="29">
        <v>2025</v>
      </c>
      <c r="C4" s="29">
        <v>35</v>
      </c>
      <c r="D4" s="29">
        <v>35</v>
      </c>
      <c r="E4" s="32">
        <v>36000000</v>
      </c>
      <c r="F4" s="31">
        <v>8.0000000000000002E-3</v>
      </c>
      <c r="G4" s="32">
        <f t="shared" ref="G4:G39" si="0">+E4*(1+F4)</f>
        <v>36288000</v>
      </c>
      <c r="H4" s="32">
        <f>+H3*12</f>
        <v>1176000</v>
      </c>
      <c r="I4" s="21">
        <f>+L2</f>
        <v>438000</v>
      </c>
      <c r="K4" s="54">
        <f t="shared" ref="K4:K39" si="1">+G4-H4</f>
        <v>35112000</v>
      </c>
    </row>
    <row r="5" spans="1:12" ht="14.1" customHeight="1">
      <c r="A5" s="28">
        <f>+A4+1</f>
        <v>2</v>
      </c>
      <c r="B5" s="29">
        <f>+B4+1</f>
        <v>2026</v>
      </c>
      <c r="C5" s="29">
        <f>+C4+1</f>
        <v>36</v>
      </c>
      <c r="D5" s="29">
        <f>+D4-1</f>
        <v>34</v>
      </c>
      <c r="E5" s="21">
        <f>+G4-H4</f>
        <v>35112000</v>
      </c>
      <c r="F5" s="31">
        <f>+F4</f>
        <v>8.0000000000000002E-3</v>
      </c>
      <c r="G5" s="32">
        <f t="shared" si="0"/>
        <v>35392896</v>
      </c>
      <c r="H5" s="32">
        <f>+H4</f>
        <v>1176000</v>
      </c>
      <c r="I5" s="21">
        <f>+I4</f>
        <v>438000</v>
      </c>
      <c r="K5" s="54">
        <f t="shared" si="1"/>
        <v>34216896</v>
      </c>
    </row>
    <row r="6" spans="1:12" ht="14.1" customHeight="1">
      <c r="A6" s="28">
        <f t="shared" ref="A6:A39" si="2">+A5+1</f>
        <v>3</v>
      </c>
      <c r="B6" s="29">
        <f t="shared" ref="B6:C25" si="3">+B5+1</f>
        <v>2027</v>
      </c>
      <c r="C6" s="29">
        <f t="shared" si="3"/>
        <v>37</v>
      </c>
      <c r="D6" s="29">
        <f t="shared" ref="D6:D25" si="4">+D5-1</f>
        <v>33</v>
      </c>
      <c r="E6" s="21">
        <f>+G5-H5</f>
        <v>34216896</v>
      </c>
      <c r="F6" s="31">
        <f t="shared" ref="F6:F39" si="5">+F5</f>
        <v>8.0000000000000002E-3</v>
      </c>
      <c r="G6" s="32">
        <f t="shared" si="0"/>
        <v>34490631.167999998</v>
      </c>
      <c r="H6" s="32">
        <f t="shared" ref="H6:I39" si="6">+H5</f>
        <v>1176000</v>
      </c>
      <c r="I6" s="21">
        <f t="shared" si="6"/>
        <v>438000</v>
      </c>
      <c r="K6" s="54">
        <f t="shared" si="1"/>
        <v>33314631.167999998</v>
      </c>
    </row>
    <row r="7" spans="1:12" ht="14.1" customHeight="1">
      <c r="A7" s="28">
        <f t="shared" si="2"/>
        <v>4</v>
      </c>
      <c r="B7" s="29">
        <f t="shared" si="3"/>
        <v>2028</v>
      </c>
      <c r="C7" s="29">
        <f t="shared" si="3"/>
        <v>38</v>
      </c>
      <c r="D7" s="29">
        <f t="shared" si="4"/>
        <v>32</v>
      </c>
      <c r="E7" s="21">
        <f t="shared" ref="E7:E39" si="7">+G6-H6</f>
        <v>33314631.167999998</v>
      </c>
      <c r="F7" s="31">
        <f t="shared" si="5"/>
        <v>8.0000000000000002E-3</v>
      </c>
      <c r="G7" s="32">
        <f t="shared" si="0"/>
        <v>33581148.217344001</v>
      </c>
      <c r="H7" s="32">
        <f t="shared" si="6"/>
        <v>1176000</v>
      </c>
      <c r="I7" s="21">
        <f t="shared" si="6"/>
        <v>438000</v>
      </c>
      <c r="K7" s="54">
        <f t="shared" si="1"/>
        <v>32405148.217344001</v>
      </c>
    </row>
    <row r="8" spans="1:12" ht="14.1" customHeight="1">
      <c r="A8" s="28">
        <f t="shared" si="2"/>
        <v>5</v>
      </c>
      <c r="B8" s="29">
        <f t="shared" si="3"/>
        <v>2029</v>
      </c>
      <c r="C8" s="29">
        <f t="shared" si="3"/>
        <v>39</v>
      </c>
      <c r="D8" s="29">
        <f t="shared" si="4"/>
        <v>31</v>
      </c>
      <c r="E8" s="21">
        <f t="shared" si="7"/>
        <v>32405148.217344001</v>
      </c>
      <c r="F8" s="31">
        <f t="shared" si="5"/>
        <v>8.0000000000000002E-3</v>
      </c>
      <c r="G8" s="32">
        <f t="shared" si="0"/>
        <v>32664389.403082754</v>
      </c>
      <c r="H8" s="32">
        <f t="shared" si="6"/>
        <v>1176000</v>
      </c>
      <c r="I8" s="21">
        <f t="shared" si="6"/>
        <v>438000</v>
      </c>
      <c r="K8" s="54">
        <f t="shared" si="1"/>
        <v>31488389.403082754</v>
      </c>
    </row>
    <row r="9" spans="1:12" ht="14.1" customHeight="1">
      <c r="A9" s="28">
        <f t="shared" si="2"/>
        <v>6</v>
      </c>
      <c r="B9" s="29">
        <f t="shared" si="3"/>
        <v>2030</v>
      </c>
      <c r="C9" s="29">
        <f t="shared" si="3"/>
        <v>40</v>
      </c>
      <c r="D9" s="29">
        <f t="shared" si="4"/>
        <v>30</v>
      </c>
      <c r="E9" s="21">
        <f t="shared" si="7"/>
        <v>31488389.403082754</v>
      </c>
      <c r="F9" s="31">
        <f t="shared" si="5"/>
        <v>8.0000000000000002E-3</v>
      </c>
      <c r="G9" s="32">
        <f t="shared" si="0"/>
        <v>31740296.518307418</v>
      </c>
      <c r="H9" s="32">
        <f t="shared" si="6"/>
        <v>1176000</v>
      </c>
      <c r="I9" s="21">
        <f t="shared" si="6"/>
        <v>438000</v>
      </c>
      <c r="K9" s="54">
        <f t="shared" si="1"/>
        <v>30564296.518307418</v>
      </c>
    </row>
    <row r="10" spans="1:12" ht="14.1" customHeight="1">
      <c r="A10" s="28">
        <f t="shared" si="2"/>
        <v>7</v>
      </c>
      <c r="B10" s="29">
        <f t="shared" si="3"/>
        <v>2031</v>
      </c>
      <c r="C10" s="29">
        <f t="shared" si="3"/>
        <v>41</v>
      </c>
      <c r="D10" s="29">
        <f t="shared" si="4"/>
        <v>29</v>
      </c>
      <c r="E10" s="21">
        <f t="shared" si="7"/>
        <v>30564296.518307418</v>
      </c>
      <c r="F10" s="31">
        <f t="shared" si="5"/>
        <v>8.0000000000000002E-3</v>
      </c>
      <c r="G10" s="32">
        <f t="shared" si="0"/>
        <v>30808810.890453879</v>
      </c>
      <c r="H10" s="32">
        <f t="shared" si="6"/>
        <v>1176000</v>
      </c>
      <c r="I10" s="21">
        <f t="shared" si="6"/>
        <v>438000</v>
      </c>
      <c r="K10" s="54">
        <f t="shared" si="1"/>
        <v>29632810.890453879</v>
      </c>
    </row>
    <row r="11" spans="1:12" ht="14.1" customHeight="1">
      <c r="A11" s="28">
        <f t="shared" si="2"/>
        <v>8</v>
      </c>
      <c r="B11" s="29">
        <f t="shared" si="3"/>
        <v>2032</v>
      </c>
      <c r="C11" s="29">
        <f t="shared" si="3"/>
        <v>42</v>
      </c>
      <c r="D11" s="29">
        <f t="shared" si="4"/>
        <v>28</v>
      </c>
      <c r="E11" s="21">
        <f t="shared" si="7"/>
        <v>29632810.890453879</v>
      </c>
      <c r="F11" s="31">
        <f t="shared" si="5"/>
        <v>8.0000000000000002E-3</v>
      </c>
      <c r="G11" s="32">
        <f t="shared" si="0"/>
        <v>29869873.37757751</v>
      </c>
      <c r="H11" s="32">
        <f t="shared" si="6"/>
        <v>1176000</v>
      </c>
      <c r="I11" s="21">
        <f t="shared" si="6"/>
        <v>438000</v>
      </c>
      <c r="K11" s="54">
        <f t="shared" si="1"/>
        <v>28693873.37757751</v>
      </c>
    </row>
    <row r="12" spans="1:12" ht="14.1" customHeight="1">
      <c r="A12" s="28">
        <f t="shared" si="2"/>
        <v>9</v>
      </c>
      <c r="B12" s="29">
        <f t="shared" si="3"/>
        <v>2033</v>
      </c>
      <c r="C12" s="29">
        <f t="shared" si="3"/>
        <v>43</v>
      </c>
      <c r="D12" s="29">
        <f t="shared" si="4"/>
        <v>27</v>
      </c>
      <c r="E12" s="21">
        <f t="shared" si="7"/>
        <v>28693873.37757751</v>
      </c>
      <c r="F12" s="31">
        <f t="shared" si="5"/>
        <v>8.0000000000000002E-3</v>
      </c>
      <c r="G12" s="32">
        <f t="shared" si="0"/>
        <v>28923424.364598129</v>
      </c>
      <c r="H12" s="32">
        <f t="shared" si="6"/>
        <v>1176000</v>
      </c>
      <c r="I12" s="21">
        <f t="shared" si="6"/>
        <v>438000</v>
      </c>
      <c r="K12" s="54">
        <f t="shared" si="1"/>
        <v>27747424.364598129</v>
      </c>
    </row>
    <row r="13" spans="1:12" ht="14.1" customHeight="1">
      <c r="A13" s="28">
        <f t="shared" si="2"/>
        <v>10</v>
      </c>
      <c r="B13" s="29">
        <f t="shared" si="3"/>
        <v>2034</v>
      </c>
      <c r="C13" s="29">
        <f t="shared" si="3"/>
        <v>44</v>
      </c>
      <c r="D13" s="29">
        <f t="shared" si="4"/>
        <v>26</v>
      </c>
      <c r="E13" s="21">
        <f t="shared" si="7"/>
        <v>27747424.364598129</v>
      </c>
      <c r="F13" s="31">
        <f t="shared" si="5"/>
        <v>8.0000000000000002E-3</v>
      </c>
      <c r="G13" s="32">
        <f t="shared" si="0"/>
        <v>27969403.759514913</v>
      </c>
      <c r="H13" s="32">
        <f t="shared" si="6"/>
        <v>1176000</v>
      </c>
      <c r="I13" s="21">
        <f t="shared" si="6"/>
        <v>438000</v>
      </c>
      <c r="K13" s="54">
        <f t="shared" si="1"/>
        <v>26793403.759514913</v>
      </c>
    </row>
    <row r="14" spans="1:12" ht="14.1" customHeight="1">
      <c r="A14" s="28">
        <f t="shared" si="2"/>
        <v>11</v>
      </c>
      <c r="B14" s="29">
        <f t="shared" si="3"/>
        <v>2035</v>
      </c>
      <c r="C14" s="29">
        <f t="shared" si="3"/>
        <v>45</v>
      </c>
      <c r="D14" s="29">
        <f t="shared" si="4"/>
        <v>25</v>
      </c>
      <c r="E14" s="21">
        <f t="shared" si="7"/>
        <v>26793403.759514913</v>
      </c>
      <c r="F14" s="31">
        <f t="shared" si="5"/>
        <v>8.0000000000000002E-3</v>
      </c>
      <c r="G14" s="32">
        <f t="shared" si="0"/>
        <v>27007750.989591032</v>
      </c>
      <c r="H14" s="32">
        <f t="shared" si="6"/>
        <v>1176000</v>
      </c>
      <c r="I14" s="21">
        <f t="shared" si="6"/>
        <v>438000</v>
      </c>
      <c r="K14" s="54">
        <f t="shared" si="1"/>
        <v>25831750.989591032</v>
      </c>
    </row>
    <row r="15" spans="1:12" ht="14.1" customHeight="1">
      <c r="A15" s="28">
        <f t="shared" si="2"/>
        <v>12</v>
      </c>
      <c r="B15" s="29">
        <f t="shared" si="3"/>
        <v>2036</v>
      </c>
      <c r="C15" s="29">
        <f t="shared" si="3"/>
        <v>46</v>
      </c>
      <c r="D15" s="29">
        <f t="shared" si="4"/>
        <v>24</v>
      </c>
      <c r="E15" s="21">
        <f t="shared" si="7"/>
        <v>25831750.989591032</v>
      </c>
      <c r="F15" s="31">
        <f t="shared" si="5"/>
        <v>8.0000000000000002E-3</v>
      </c>
      <c r="G15" s="32">
        <f t="shared" si="0"/>
        <v>26038404.997507762</v>
      </c>
      <c r="H15" s="32">
        <f t="shared" si="6"/>
        <v>1176000</v>
      </c>
      <c r="I15" s="21">
        <f t="shared" si="6"/>
        <v>438000</v>
      </c>
      <c r="K15" s="54">
        <f t="shared" si="1"/>
        <v>24862404.997507762</v>
      </c>
    </row>
    <row r="16" spans="1:12" ht="14.1" customHeight="1">
      <c r="A16" s="28">
        <f t="shared" si="2"/>
        <v>13</v>
      </c>
      <c r="B16" s="29">
        <f t="shared" si="3"/>
        <v>2037</v>
      </c>
      <c r="C16" s="29">
        <f t="shared" si="3"/>
        <v>47</v>
      </c>
      <c r="D16" s="29">
        <f t="shared" si="4"/>
        <v>23</v>
      </c>
      <c r="E16" s="21">
        <f t="shared" si="7"/>
        <v>24862404.997507762</v>
      </c>
      <c r="F16" s="31">
        <f t="shared" si="5"/>
        <v>8.0000000000000002E-3</v>
      </c>
      <c r="G16" s="32">
        <f t="shared" si="0"/>
        <v>25061304.237487823</v>
      </c>
      <c r="H16" s="32">
        <f t="shared" si="6"/>
        <v>1176000</v>
      </c>
      <c r="I16" s="21">
        <f t="shared" si="6"/>
        <v>438000</v>
      </c>
      <c r="K16" s="54">
        <f t="shared" si="1"/>
        <v>23885304.237487823</v>
      </c>
    </row>
    <row r="17" spans="1:11" ht="14.1" customHeight="1">
      <c r="A17" s="28">
        <f t="shared" si="2"/>
        <v>14</v>
      </c>
      <c r="B17" s="29">
        <f t="shared" si="3"/>
        <v>2038</v>
      </c>
      <c r="C17" s="29">
        <f t="shared" si="3"/>
        <v>48</v>
      </c>
      <c r="D17" s="29">
        <f t="shared" si="4"/>
        <v>22</v>
      </c>
      <c r="E17" s="21">
        <f t="shared" si="7"/>
        <v>23885304.237487823</v>
      </c>
      <c r="F17" s="31">
        <f t="shared" si="5"/>
        <v>8.0000000000000002E-3</v>
      </c>
      <c r="G17" s="32">
        <f t="shared" si="0"/>
        <v>24076386.671387725</v>
      </c>
      <c r="H17" s="32">
        <f t="shared" si="6"/>
        <v>1176000</v>
      </c>
      <c r="I17" s="21">
        <f t="shared" si="6"/>
        <v>438000</v>
      </c>
      <c r="K17" s="54">
        <f t="shared" si="1"/>
        <v>22900386.671387725</v>
      </c>
    </row>
    <row r="18" spans="1:11" ht="14.1" customHeight="1">
      <c r="A18" s="28">
        <f t="shared" si="2"/>
        <v>15</v>
      </c>
      <c r="B18" s="29">
        <f t="shared" si="3"/>
        <v>2039</v>
      </c>
      <c r="C18" s="29">
        <f t="shared" si="3"/>
        <v>49</v>
      </c>
      <c r="D18" s="29">
        <f t="shared" si="4"/>
        <v>21</v>
      </c>
      <c r="E18" s="21">
        <f t="shared" si="7"/>
        <v>22900386.671387725</v>
      </c>
      <c r="F18" s="31">
        <f t="shared" si="5"/>
        <v>8.0000000000000002E-3</v>
      </c>
      <c r="G18" s="32">
        <f t="shared" si="0"/>
        <v>23083589.764758825</v>
      </c>
      <c r="H18" s="32">
        <f t="shared" si="6"/>
        <v>1176000</v>
      </c>
      <c r="I18" s="21">
        <f t="shared" si="6"/>
        <v>438000</v>
      </c>
      <c r="K18" s="54">
        <f t="shared" si="1"/>
        <v>21907589.764758825</v>
      </c>
    </row>
    <row r="19" spans="1:11" ht="14.1" customHeight="1">
      <c r="A19" s="28">
        <f t="shared" si="2"/>
        <v>16</v>
      </c>
      <c r="B19" s="29">
        <f t="shared" si="3"/>
        <v>2040</v>
      </c>
      <c r="C19" s="29">
        <f t="shared" si="3"/>
        <v>50</v>
      </c>
      <c r="D19" s="29">
        <f t="shared" si="4"/>
        <v>20</v>
      </c>
      <c r="E19" s="21">
        <f t="shared" si="7"/>
        <v>21907589.764758825</v>
      </c>
      <c r="F19" s="31">
        <f t="shared" si="5"/>
        <v>8.0000000000000002E-3</v>
      </c>
      <c r="G19" s="32">
        <f t="shared" si="0"/>
        <v>22082850.482876897</v>
      </c>
      <c r="H19" s="32">
        <f t="shared" si="6"/>
        <v>1176000</v>
      </c>
      <c r="I19" s="21">
        <f t="shared" si="6"/>
        <v>438000</v>
      </c>
      <c r="K19" s="54">
        <f t="shared" si="1"/>
        <v>20906850.482876897</v>
      </c>
    </row>
    <row r="20" spans="1:11" ht="14.1" customHeight="1">
      <c r="A20" s="28">
        <f t="shared" si="2"/>
        <v>17</v>
      </c>
      <c r="B20" s="29">
        <f t="shared" si="3"/>
        <v>2041</v>
      </c>
      <c r="C20" s="29">
        <f t="shared" si="3"/>
        <v>51</v>
      </c>
      <c r="D20" s="29">
        <f t="shared" si="4"/>
        <v>19</v>
      </c>
      <c r="E20" s="21">
        <f t="shared" si="7"/>
        <v>20906850.482876897</v>
      </c>
      <c r="F20" s="31">
        <f t="shared" si="5"/>
        <v>8.0000000000000002E-3</v>
      </c>
      <c r="G20" s="32">
        <f t="shared" si="0"/>
        <v>21074105.286739912</v>
      </c>
      <c r="H20" s="32">
        <f t="shared" si="6"/>
        <v>1176000</v>
      </c>
      <c r="I20" s="21">
        <f t="shared" si="6"/>
        <v>438000</v>
      </c>
      <c r="K20" s="54">
        <f t="shared" si="1"/>
        <v>19898105.286739912</v>
      </c>
    </row>
    <row r="21" spans="1:11" ht="14.1" customHeight="1">
      <c r="A21" s="28">
        <f t="shared" si="2"/>
        <v>18</v>
      </c>
      <c r="B21" s="29">
        <f t="shared" si="3"/>
        <v>2042</v>
      </c>
      <c r="C21" s="29">
        <f t="shared" si="3"/>
        <v>52</v>
      </c>
      <c r="D21" s="29">
        <f t="shared" si="4"/>
        <v>18</v>
      </c>
      <c r="E21" s="21">
        <f t="shared" si="7"/>
        <v>19898105.286739912</v>
      </c>
      <c r="F21" s="31">
        <f t="shared" si="5"/>
        <v>8.0000000000000002E-3</v>
      </c>
      <c r="G21" s="32">
        <f t="shared" si="0"/>
        <v>20057290.12903383</v>
      </c>
      <c r="H21" s="32">
        <f t="shared" si="6"/>
        <v>1176000</v>
      </c>
      <c r="I21" s="21">
        <f t="shared" si="6"/>
        <v>438000</v>
      </c>
      <c r="K21" s="54">
        <f t="shared" si="1"/>
        <v>18881290.12903383</v>
      </c>
    </row>
    <row r="22" spans="1:11" ht="14.1" customHeight="1">
      <c r="A22" s="28">
        <f t="shared" si="2"/>
        <v>19</v>
      </c>
      <c r="B22" s="29">
        <f t="shared" si="3"/>
        <v>2043</v>
      </c>
      <c r="C22" s="29">
        <f t="shared" si="3"/>
        <v>53</v>
      </c>
      <c r="D22" s="29">
        <f t="shared" si="4"/>
        <v>17</v>
      </c>
      <c r="E22" s="21">
        <f t="shared" si="7"/>
        <v>18881290.12903383</v>
      </c>
      <c r="F22" s="31">
        <f t="shared" si="5"/>
        <v>8.0000000000000002E-3</v>
      </c>
      <c r="G22" s="32">
        <f t="shared" si="0"/>
        <v>19032340.450066101</v>
      </c>
      <c r="H22" s="32">
        <f t="shared" si="6"/>
        <v>1176000</v>
      </c>
      <c r="I22" s="21">
        <f t="shared" si="6"/>
        <v>438000</v>
      </c>
      <c r="K22" s="54">
        <f t="shared" si="1"/>
        <v>17856340.450066101</v>
      </c>
    </row>
    <row r="23" spans="1:11" ht="14.1" customHeight="1">
      <c r="A23" s="28">
        <f t="shared" si="2"/>
        <v>20</v>
      </c>
      <c r="B23" s="29">
        <f t="shared" si="3"/>
        <v>2044</v>
      </c>
      <c r="C23" s="29">
        <f t="shared" si="3"/>
        <v>54</v>
      </c>
      <c r="D23" s="29">
        <f t="shared" si="4"/>
        <v>16</v>
      </c>
      <c r="E23" s="21">
        <f t="shared" si="7"/>
        <v>17856340.450066101</v>
      </c>
      <c r="F23" s="31">
        <f t="shared" si="5"/>
        <v>8.0000000000000002E-3</v>
      </c>
      <c r="G23" s="32">
        <f t="shared" si="0"/>
        <v>17999191.17366663</v>
      </c>
      <c r="H23" s="32">
        <f t="shared" si="6"/>
        <v>1176000</v>
      </c>
      <c r="I23" s="21">
        <f t="shared" si="6"/>
        <v>438000</v>
      </c>
      <c r="K23" s="54">
        <f t="shared" si="1"/>
        <v>16823191.17366663</v>
      </c>
    </row>
    <row r="24" spans="1:11" ht="14.1" customHeight="1">
      <c r="A24" s="28">
        <f t="shared" si="2"/>
        <v>21</v>
      </c>
      <c r="B24" s="29">
        <f t="shared" si="3"/>
        <v>2045</v>
      </c>
      <c r="C24" s="29">
        <f t="shared" si="3"/>
        <v>55</v>
      </c>
      <c r="D24" s="29">
        <f t="shared" si="4"/>
        <v>15</v>
      </c>
      <c r="E24" s="21">
        <f t="shared" si="7"/>
        <v>16823191.17366663</v>
      </c>
      <c r="F24" s="31">
        <f t="shared" si="5"/>
        <v>8.0000000000000002E-3</v>
      </c>
      <c r="G24" s="32">
        <f t="shared" si="0"/>
        <v>16957776.703055963</v>
      </c>
      <c r="H24" s="32">
        <f t="shared" si="6"/>
        <v>1176000</v>
      </c>
      <c r="I24" s="21">
        <f t="shared" si="6"/>
        <v>438000</v>
      </c>
      <c r="K24" s="54">
        <f t="shared" si="1"/>
        <v>15781776.703055963</v>
      </c>
    </row>
    <row r="25" spans="1:11" ht="14.1" customHeight="1">
      <c r="A25" s="28">
        <f t="shared" si="2"/>
        <v>22</v>
      </c>
      <c r="B25" s="29">
        <f t="shared" si="3"/>
        <v>2046</v>
      </c>
      <c r="C25" s="29">
        <f t="shared" si="3"/>
        <v>56</v>
      </c>
      <c r="D25" s="29">
        <f t="shared" si="4"/>
        <v>14</v>
      </c>
      <c r="E25" s="21">
        <f t="shared" si="7"/>
        <v>15781776.703055963</v>
      </c>
      <c r="F25" s="31">
        <f t="shared" si="5"/>
        <v>8.0000000000000002E-3</v>
      </c>
      <c r="G25" s="32">
        <f t="shared" si="0"/>
        <v>15908030.916680411</v>
      </c>
      <c r="H25" s="32">
        <f t="shared" si="6"/>
        <v>1176000</v>
      </c>
      <c r="I25" s="21">
        <f t="shared" si="6"/>
        <v>438000</v>
      </c>
      <c r="K25" s="54">
        <f t="shared" si="1"/>
        <v>14732030.916680411</v>
      </c>
    </row>
    <row r="26" spans="1:11" ht="14.1" customHeight="1">
      <c r="A26" s="28">
        <f t="shared" si="2"/>
        <v>23</v>
      </c>
      <c r="B26" s="29">
        <f>+B25+1</f>
        <v>2047</v>
      </c>
      <c r="C26" s="29">
        <f t="shared" ref="C26:C36" si="8">+C25+1</f>
        <v>57</v>
      </c>
      <c r="D26" s="29">
        <f>+D25-1</f>
        <v>13</v>
      </c>
      <c r="E26" s="21">
        <f t="shared" si="7"/>
        <v>14732030.916680411</v>
      </c>
      <c r="F26" s="31">
        <f t="shared" si="5"/>
        <v>8.0000000000000002E-3</v>
      </c>
      <c r="G26" s="32">
        <f t="shared" si="0"/>
        <v>14849887.164013853</v>
      </c>
      <c r="H26" s="32">
        <f t="shared" si="6"/>
        <v>1176000</v>
      </c>
      <c r="I26" s="21">
        <f t="shared" si="6"/>
        <v>438000</v>
      </c>
      <c r="K26" s="54">
        <f t="shared" si="1"/>
        <v>13673887.164013853</v>
      </c>
    </row>
    <row r="27" spans="1:11" ht="14.1" customHeight="1">
      <c r="A27" s="28">
        <f t="shared" si="2"/>
        <v>24</v>
      </c>
      <c r="B27" s="29">
        <f t="shared" ref="B27:B39" si="9">+B26+1</f>
        <v>2048</v>
      </c>
      <c r="C27" s="29">
        <f t="shared" si="8"/>
        <v>58</v>
      </c>
      <c r="D27" s="29">
        <f t="shared" ref="D27:D39" si="10">+D26-1</f>
        <v>12</v>
      </c>
      <c r="E27" s="21">
        <f t="shared" si="7"/>
        <v>13673887.164013853</v>
      </c>
      <c r="F27" s="31">
        <f t="shared" si="5"/>
        <v>8.0000000000000002E-3</v>
      </c>
      <c r="G27" s="32">
        <f t="shared" si="0"/>
        <v>13783278.261325965</v>
      </c>
      <c r="H27" s="32">
        <f t="shared" si="6"/>
        <v>1176000</v>
      </c>
      <c r="I27" s="21">
        <f t="shared" si="6"/>
        <v>438000</v>
      </c>
      <c r="K27" s="54">
        <f t="shared" si="1"/>
        <v>12607278.261325965</v>
      </c>
    </row>
    <row r="28" spans="1:11" ht="14.1" customHeight="1">
      <c r="A28" s="28">
        <f t="shared" si="2"/>
        <v>25</v>
      </c>
      <c r="B28" s="29">
        <f t="shared" si="9"/>
        <v>2049</v>
      </c>
      <c r="C28" s="29">
        <f t="shared" si="8"/>
        <v>59</v>
      </c>
      <c r="D28" s="29">
        <f t="shared" si="10"/>
        <v>11</v>
      </c>
      <c r="E28" s="21">
        <f t="shared" si="7"/>
        <v>12607278.261325965</v>
      </c>
      <c r="F28" s="31">
        <f t="shared" si="5"/>
        <v>8.0000000000000002E-3</v>
      </c>
      <c r="G28" s="32">
        <f t="shared" si="0"/>
        <v>12708136.487416573</v>
      </c>
      <c r="H28" s="32">
        <f t="shared" si="6"/>
        <v>1176000</v>
      </c>
      <c r="I28" s="21">
        <f t="shared" si="6"/>
        <v>438000</v>
      </c>
      <c r="K28" s="54">
        <f t="shared" si="1"/>
        <v>11532136.487416573</v>
      </c>
    </row>
    <row r="29" spans="1:11" ht="14.1" customHeight="1">
      <c r="A29" s="28">
        <f t="shared" si="2"/>
        <v>26</v>
      </c>
      <c r="B29" s="29">
        <f t="shared" si="9"/>
        <v>2050</v>
      </c>
      <c r="C29" s="29">
        <f t="shared" si="8"/>
        <v>60</v>
      </c>
      <c r="D29" s="29">
        <f t="shared" si="10"/>
        <v>10</v>
      </c>
      <c r="E29" s="21">
        <f t="shared" si="7"/>
        <v>11532136.487416573</v>
      </c>
      <c r="F29" s="31">
        <f t="shared" si="5"/>
        <v>8.0000000000000002E-3</v>
      </c>
      <c r="G29" s="32">
        <f t="shared" si="0"/>
        <v>11624393.579315906</v>
      </c>
      <c r="H29" s="32">
        <f t="shared" si="6"/>
        <v>1176000</v>
      </c>
      <c r="I29" s="21">
        <f t="shared" si="6"/>
        <v>438000</v>
      </c>
      <c r="K29" s="54">
        <f t="shared" si="1"/>
        <v>10448393.579315906</v>
      </c>
    </row>
    <row r="30" spans="1:11" ht="14.1" customHeight="1">
      <c r="A30" s="28">
        <f t="shared" si="2"/>
        <v>27</v>
      </c>
      <c r="B30" s="29">
        <f t="shared" si="9"/>
        <v>2051</v>
      </c>
      <c r="C30" s="29">
        <f t="shared" si="8"/>
        <v>61</v>
      </c>
      <c r="D30" s="29">
        <f t="shared" si="10"/>
        <v>9</v>
      </c>
      <c r="E30" s="21">
        <f t="shared" si="7"/>
        <v>10448393.579315906</v>
      </c>
      <c r="F30" s="31">
        <f t="shared" si="5"/>
        <v>8.0000000000000002E-3</v>
      </c>
      <c r="G30" s="32">
        <f t="shared" si="0"/>
        <v>10531980.727950433</v>
      </c>
      <c r="H30" s="32">
        <f t="shared" si="6"/>
        <v>1176000</v>
      </c>
      <c r="I30" s="21">
        <f t="shared" si="6"/>
        <v>438000</v>
      </c>
      <c r="K30" s="54">
        <f t="shared" si="1"/>
        <v>9355980.7279504333</v>
      </c>
    </row>
    <row r="31" spans="1:11" ht="14.1" customHeight="1">
      <c r="A31" s="28">
        <f t="shared" si="2"/>
        <v>28</v>
      </c>
      <c r="B31" s="29">
        <f t="shared" si="9"/>
        <v>2052</v>
      </c>
      <c r="C31" s="29">
        <f t="shared" si="8"/>
        <v>62</v>
      </c>
      <c r="D31" s="29">
        <f t="shared" si="10"/>
        <v>8</v>
      </c>
      <c r="E31" s="21">
        <f t="shared" si="7"/>
        <v>9355980.7279504333</v>
      </c>
      <c r="F31" s="31">
        <f t="shared" si="5"/>
        <v>8.0000000000000002E-3</v>
      </c>
      <c r="G31" s="32">
        <f t="shared" si="0"/>
        <v>9430828.573774036</v>
      </c>
      <c r="H31" s="32">
        <f t="shared" si="6"/>
        <v>1176000</v>
      </c>
      <c r="I31" s="21">
        <f t="shared" si="6"/>
        <v>438000</v>
      </c>
      <c r="K31" s="54">
        <f t="shared" si="1"/>
        <v>8254828.573774036</v>
      </c>
    </row>
    <row r="32" spans="1:11" ht="14.1" customHeight="1">
      <c r="A32" s="28">
        <f t="shared" si="2"/>
        <v>29</v>
      </c>
      <c r="B32" s="29">
        <f t="shared" si="9"/>
        <v>2053</v>
      </c>
      <c r="C32" s="29">
        <f t="shared" si="8"/>
        <v>63</v>
      </c>
      <c r="D32" s="29">
        <f t="shared" si="10"/>
        <v>7</v>
      </c>
      <c r="E32" s="21">
        <f t="shared" si="7"/>
        <v>8254828.573774036</v>
      </c>
      <c r="F32" s="31">
        <f t="shared" si="5"/>
        <v>8.0000000000000002E-3</v>
      </c>
      <c r="G32" s="32">
        <f t="shared" si="0"/>
        <v>8320867.2023642287</v>
      </c>
      <c r="H32" s="32">
        <f t="shared" si="6"/>
        <v>1176000</v>
      </c>
      <c r="I32" s="21">
        <f t="shared" si="6"/>
        <v>438000</v>
      </c>
      <c r="K32" s="54">
        <f t="shared" si="1"/>
        <v>7144867.2023642287</v>
      </c>
    </row>
    <row r="33" spans="1:12" ht="14.1" customHeight="1">
      <c r="A33" s="28">
        <f t="shared" si="2"/>
        <v>30</v>
      </c>
      <c r="B33" s="29">
        <f t="shared" si="9"/>
        <v>2054</v>
      </c>
      <c r="C33" s="29">
        <f t="shared" si="8"/>
        <v>64</v>
      </c>
      <c r="D33" s="29">
        <f t="shared" si="10"/>
        <v>6</v>
      </c>
      <c r="E33" s="21">
        <f t="shared" si="7"/>
        <v>7144867.2023642287</v>
      </c>
      <c r="F33" s="31">
        <f t="shared" si="5"/>
        <v>8.0000000000000002E-3</v>
      </c>
      <c r="G33" s="32">
        <f t="shared" si="0"/>
        <v>7202026.1399831427</v>
      </c>
      <c r="H33" s="32">
        <f t="shared" si="6"/>
        <v>1176000</v>
      </c>
      <c r="I33" s="21">
        <f t="shared" si="6"/>
        <v>438000</v>
      </c>
      <c r="K33" s="54">
        <f t="shared" si="1"/>
        <v>6026026.1399831427</v>
      </c>
    </row>
    <row r="34" spans="1:12" ht="14.1" customHeight="1">
      <c r="A34" s="28">
        <f t="shared" si="2"/>
        <v>31</v>
      </c>
      <c r="B34" s="29">
        <f t="shared" si="9"/>
        <v>2055</v>
      </c>
      <c r="C34" s="29">
        <f t="shared" si="8"/>
        <v>65</v>
      </c>
      <c r="D34" s="29">
        <f t="shared" si="10"/>
        <v>5</v>
      </c>
      <c r="E34" s="21">
        <f t="shared" si="7"/>
        <v>6026026.1399831427</v>
      </c>
      <c r="F34" s="31">
        <f t="shared" si="5"/>
        <v>8.0000000000000002E-3</v>
      </c>
      <c r="G34" s="32">
        <f t="shared" si="0"/>
        <v>6074234.3491030075</v>
      </c>
      <c r="H34" s="32">
        <f t="shared" si="6"/>
        <v>1176000</v>
      </c>
      <c r="I34" s="21">
        <f t="shared" si="6"/>
        <v>438000</v>
      </c>
      <c r="K34" s="54">
        <f t="shared" si="1"/>
        <v>4898234.3491030075</v>
      </c>
    </row>
    <row r="35" spans="1:12" ht="14.1" customHeight="1">
      <c r="A35" s="28">
        <f t="shared" si="2"/>
        <v>32</v>
      </c>
      <c r="B35" s="29">
        <f t="shared" si="9"/>
        <v>2056</v>
      </c>
      <c r="C35" s="29">
        <f t="shared" si="8"/>
        <v>66</v>
      </c>
      <c r="D35" s="29">
        <f t="shared" si="10"/>
        <v>4</v>
      </c>
      <c r="E35" s="21">
        <f t="shared" si="7"/>
        <v>4898234.3491030075</v>
      </c>
      <c r="F35" s="31">
        <f t="shared" si="5"/>
        <v>8.0000000000000002E-3</v>
      </c>
      <c r="G35" s="32">
        <f t="shared" si="0"/>
        <v>4937420.223895832</v>
      </c>
      <c r="H35" s="32">
        <f t="shared" si="6"/>
        <v>1176000</v>
      </c>
      <c r="I35" s="21">
        <f t="shared" si="6"/>
        <v>438000</v>
      </c>
      <c r="K35" s="54">
        <f t="shared" si="1"/>
        <v>3761420.223895832</v>
      </c>
    </row>
    <row r="36" spans="1:12" ht="14.1" customHeight="1">
      <c r="A36" s="28">
        <f t="shared" si="2"/>
        <v>33</v>
      </c>
      <c r="B36" s="29">
        <f t="shared" si="9"/>
        <v>2057</v>
      </c>
      <c r="C36" s="29">
        <f t="shared" si="8"/>
        <v>67</v>
      </c>
      <c r="D36" s="29">
        <f t="shared" si="10"/>
        <v>3</v>
      </c>
      <c r="E36" s="21">
        <f t="shared" si="7"/>
        <v>3761420.223895832</v>
      </c>
      <c r="F36" s="31">
        <f t="shared" si="5"/>
        <v>8.0000000000000002E-3</v>
      </c>
      <c r="G36" s="32">
        <f t="shared" si="0"/>
        <v>3791511.5856869984</v>
      </c>
      <c r="H36" s="32">
        <f t="shared" si="6"/>
        <v>1176000</v>
      </c>
      <c r="I36" s="21">
        <f t="shared" si="6"/>
        <v>438000</v>
      </c>
      <c r="K36" s="54">
        <f t="shared" si="1"/>
        <v>2615511.5856869984</v>
      </c>
    </row>
    <row r="37" spans="1:12" ht="14.1" customHeight="1">
      <c r="A37" s="28">
        <f t="shared" si="2"/>
        <v>34</v>
      </c>
      <c r="B37" s="29">
        <f t="shared" si="9"/>
        <v>2058</v>
      </c>
      <c r="C37" s="29">
        <f t="shared" ref="C37:C39" si="11">+C36+1</f>
        <v>68</v>
      </c>
      <c r="D37" s="29">
        <f t="shared" si="10"/>
        <v>2</v>
      </c>
      <c r="E37" s="21">
        <f t="shared" si="7"/>
        <v>2615511.5856869984</v>
      </c>
      <c r="F37" s="31">
        <f t="shared" si="5"/>
        <v>8.0000000000000002E-3</v>
      </c>
      <c r="G37" s="32">
        <f t="shared" si="0"/>
        <v>2636435.6783724944</v>
      </c>
      <c r="H37" s="32">
        <f t="shared" si="6"/>
        <v>1176000</v>
      </c>
      <c r="I37" s="21">
        <f t="shared" si="6"/>
        <v>438000</v>
      </c>
      <c r="K37" s="54">
        <f t="shared" si="1"/>
        <v>1460435.6783724944</v>
      </c>
    </row>
    <row r="38" spans="1:12" ht="14.1" customHeight="1">
      <c r="A38" s="28">
        <f t="shared" si="2"/>
        <v>35</v>
      </c>
      <c r="B38" s="29">
        <f t="shared" si="9"/>
        <v>2059</v>
      </c>
      <c r="C38" s="29">
        <f t="shared" si="11"/>
        <v>69</v>
      </c>
      <c r="D38" s="29">
        <f t="shared" si="10"/>
        <v>1</v>
      </c>
      <c r="E38" s="21">
        <f t="shared" si="7"/>
        <v>1460435.6783724944</v>
      </c>
      <c r="F38" s="31">
        <f t="shared" si="5"/>
        <v>8.0000000000000002E-3</v>
      </c>
      <c r="G38" s="32">
        <f t="shared" si="0"/>
        <v>1472119.1637994745</v>
      </c>
      <c r="H38" s="32">
        <f t="shared" si="6"/>
        <v>1176000</v>
      </c>
      <c r="I38" s="21">
        <f t="shared" si="6"/>
        <v>438000</v>
      </c>
      <c r="K38" s="54">
        <f t="shared" si="1"/>
        <v>296119.16379947448</v>
      </c>
    </row>
    <row r="39" spans="1:12" ht="14.1" customHeight="1">
      <c r="A39" s="28">
        <f t="shared" si="2"/>
        <v>36</v>
      </c>
      <c r="B39" s="29">
        <f t="shared" si="9"/>
        <v>2060</v>
      </c>
      <c r="C39" s="29">
        <f t="shared" si="11"/>
        <v>70</v>
      </c>
      <c r="D39" s="29">
        <f t="shared" si="10"/>
        <v>0</v>
      </c>
      <c r="E39" s="21">
        <f t="shared" si="7"/>
        <v>296119.16379947448</v>
      </c>
      <c r="F39" s="31">
        <f t="shared" si="5"/>
        <v>8.0000000000000002E-3</v>
      </c>
      <c r="G39" s="32">
        <f t="shared" si="0"/>
        <v>298488.11710987031</v>
      </c>
      <c r="H39" s="32">
        <f t="shared" si="6"/>
        <v>1176000</v>
      </c>
      <c r="I39" s="21">
        <f t="shared" si="6"/>
        <v>438000</v>
      </c>
      <c r="K39" s="54">
        <f t="shared" si="1"/>
        <v>-877511.88289012969</v>
      </c>
    </row>
    <row r="40" spans="1:12" ht="14.1" customHeight="1">
      <c r="A40" s="28"/>
      <c r="B40" s="29"/>
      <c r="C40" s="29"/>
      <c r="D40" s="29"/>
      <c r="E40" s="29"/>
      <c r="F40" s="28"/>
      <c r="G40" s="28"/>
      <c r="H40" s="56">
        <f>SUM(H3:H39)</f>
        <v>42434000</v>
      </c>
      <c r="I40" s="56">
        <f>SUM(I4:I39)</f>
        <v>15768000</v>
      </c>
      <c r="J40" s="54"/>
      <c r="K40" s="29"/>
    </row>
    <row r="41" spans="1:12" ht="14.1" customHeight="1">
      <c r="A41" s="28"/>
      <c r="B41" s="29"/>
      <c r="C41" s="29"/>
      <c r="D41" s="29"/>
      <c r="E41" s="29"/>
      <c r="F41" s="28"/>
      <c r="G41" s="28"/>
      <c r="H41" s="28"/>
      <c r="I41" s="28"/>
      <c r="J41" s="28"/>
      <c r="K41" s="28"/>
      <c r="L41" s="28"/>
    </row>
    <row r="42" spans="1:12" ht="14.1" customHeight="1">
      <c r="A42" s="28"/>
      <c r="B42" s="29"/>
      <c r="C42" s="29"/>
      <c r="D42" s="29"/>
      <c r="E42" s="29"/>
      <c r="F42" s="28"/>
      <c r="G42" s="28"/>
      <c r="H42" s="28"/>
      <c r="I42" s="28"/>
      <c r="J42" s="28"/>
      <c r="K42" s="28"/>
      <c r="L42" s="28"/>
    </row>
    <row r="43" spans="1:12" ht="14.1" customHeight="1">
      <c r="A43" s="28"/>
      <c r="B43" s="29"/>
      <c r="C43" s="29"/>
      <c r="D43" s="29"/>
      <c r="E43" s="29"/>
      <c r="F43" s="28"/>
      <c r="G43" s="28"/>
      <c r="H43" s="28"/>
      <c r="I43" s="28"/>
      <c r="J43" s="28"/>
      <c r="K43" s="28"/>
      <c r="L43" s="28"/>
    </row>
    <row r="44" spans="1:12">
      <c r="A44" s="28"/>
      <c r="B44" s="29"/>
      <c r="C44" s="29"/>
      <c r="D44" s="29"/>
      <c r="E44" s="29"/>
      <c r="F44" s="28"/>
      <c r="G44" s="28"/>
      <c r="H44" s="28"/>
      <c r="I44" s="28"/>
      <c r="J44" s="28"/>
      <c r="K44" s="28"/>
      <c r="L44" s="28"/>
    </row>
    <row r="45" spans="1:12">
      <c r="A45" s="28"/>
      <c r="B45" s="29"/>
      <c r="C45" s="29"/>
      <c r="D45" s="29"/>
      <c r="E45" s="29"/>
      <c r="F45" s="28"/>
      <c r="G45" s="28"/>
      <c r="H45" s="28"/>
      <c r="I45" s="28"/>
      <c r="J45" s="28"/>
      <c r="K45" s="28"/>
      <c r="L45" s="28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6FDDF-1620-46B2-A52A-038D9A45EEC9}">
  <dimension ref="A1:N25"/>
  <sheetViews>
    <sheetView workbookViewId="0">
      <selection activeCell="M9" sqref="M9"/>
    </sheetView>
  </sheetViews>
  <sheetFormatPr defaultRowHeight="18.75"/>
  <sheetData>
    <row r="1" spans="1:14">
      <c r="A1" s="28"/>
      <c r="B1" s="28"/>
      <c r="C1" s="28"/>
      <c r="D1" s="28"/>
      <c r="E1" s="28"/>
      <c r="F1" s="28"/>
      <c r="G1" s="28"/>
      <c r="H1" s="28"/>
      <c r="I1" s="52"/>
      <c r="J1" s="28"/>
      <c r="K1" s="28"/>
      <c r="L1" s="28"/>
      <c r="M1" s="28"/>
      <c r="N1" s="28"/>
    </row>
    <row r="2" spans="1:14">
      <c r="A2" s="28"/>
      <c r="B2" s="28" t="s">
        <v>126</v>
      </c>
      <c r="C2" s="52" t="s">
        <v>114</v>
      </c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</row>
    <row r="3" spans="1:14">
      <c r="A3" s="28"/>
      <c r="B3" s="28" t="s">
        <v>126</v>
      </c>
      <c r="C3" s="52" t="s">
        <v>115</v>
      </c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</row>
    <row r="4" spans="1:14">
      <c r="A4" s="28"/>
      <c r="B4" s="28" t="s">
        <v>119</v>
      </c>
      <c r="C4" s="52" t="s">
        <v>86</v>
      </c>
      <c r="D4" s="28"/>
      <c r="E4" s="28" t="s">
        <v>87</v>
      </c>
      <c r="F4" s="28"/>
      <c r="G4" s="28"/>
      <c r="H4" s="28"/>
      <c r="I4" s="28"/>
      <c r="J4" s="28"/>
      <c r="K4" s="28"/>
      <c r="L4" s="28"/>
      <c r="M4" s="28"/>
      <c r="N4" s="28"/>
    </row>
    <row r="5" spans="1:14">
      <c r="A5" s="28"/>
      <c r="B5" s="28" t="s">
        <v>119</v>
      </c>
      <c r="C5" s="52" t="s">
        <v>134</v>
      </c>
      <c r="D5" s="28"/>
      <c r="E5" s="28" t="s">
        <v>118</v>
      </c>
      <c r="F5" s="28"/>
      <c r="G5" s="28"/>
      <c r="H5" s="28"/>
      <c r="I5" s="28"/>
      <c r="J5" s="28"/>
      <c r="K5" s="28"/>
      <c r="L5" s="28"/>
      <c r="M5" s="28"/>
      <c r="N5" s="28"/>
    </row>
    <row r="6" spans="1:14">
      <c r="A6" s="28"/>
      <c r="B6" s="28" t="s">
        <v>2</v>
      </c>
      <c r="C6" s="28" t="s">
        <v>95</v>
      </c>
      <c r="D6" s="28" t="s">
        <v>98</v>
      </c>
      <c r="E6" s="28"/>
      <c r="F6" s="28"/>
      <c r="G6" s="28"/>
      <c r="H6" s="28"/>
      <c r="I6" s="28"/>
      <c r="J6" s="28"/>
      <c r="K6" s="28"/>
      <c r="L6" s="28"/>
      <c r="M6" s="28"/>
      <c r="N6" s="28"/>
    </row>
    <row r="7" spans="1:14">
      <c r="A7" s="28"/>
      <c r="B7" s="28" t="s">
        <v>5</v>
      </c>
      <c r="C7" s="52" t="s">
        <v>110</v>
      </c>
      <c r="D7" s="28" t="s">
        <v>111</v>
      </c>
      <c r="E7" s="28"/>
      <c r="F7" s="28"/>
      <c r="G7" s="28"/>
      <c r="H7" s="28"/>
      <c r="I7" s="28"/>
      <c r="J7" s="28"/>
      <c r="K7" s="28"/>
      <c r="L7" s="28"/>
      <c r="M7" s="28"/>
      <c r="N7" s="28"/>
    </row>
    <row r="8" spans="1:14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</row>
    <row r="9" spans="1:14">
      <c r="A9" s="28"/>
      <c r="B9" s="28" t="s">
        <v>125</v>
      </c>
      <c r="C9" s="52" t="s">
        <v>101</v>
      </c>
      <c r="D9" s="52" t="s">
        <v>102</v>
      </c>
      <c r="E9" s="28"/>
      <c r="F9" s="28"/>
      <c r="G9" s="28" t="s">
        <v>91</v>
      </c>
      <c r="H9" s="52" t="s">
        <v>96</v>
      </c>
      <c r="I9" s="28"/>
      <c r="J9" s="28" t="s">
        <v>97</v>
      </c>
      <c r="K9" s="28"/>
      <c r="L9" s="28"/>
      <c r="M9" s="28"/>
      <c r="N9" s="28"/>
    </row>
    <row r="10" spans="1:14">
      <c r="A10" s="28"/>
      <c r="B10" s="28" t="s">
        <v>125</v>
      </c>
      <c r="C10" s="52" t="s">
        <v>123</v>
      </c>
      <c r="D10" s="28" t="s">
        <v>99</v>
      </c>
      <c r="E10" s="28"/>
      <c r="F10" s="28"/>
      <c r="G10" s="28" t="s">
        <v>91</v>
      </c>
      <c r="H10" s="28" t="s">
        <v>92</v>
      </c>
      <c r="I10" s="28"/>
      <c r="J10" s="28" t="s">
        <v>98</v>
      </c>
      <c r="K10" s="28"/>
      <c r="L10" s="28"/>
      <c r="M10" s="28"/>
      <c r="N10" s="28"/>
    </row>
    <row r="11" spans="1:14">
      <c r="A11" s="28"/>
      <c r="B11" s="28" t="s">
        <v>125</v>
      </c>
      <c r="C11" s="28" t="s">
        <v>124</v>
      </c>
      <c r="D11" s="28" t="s">
        <v>100</v>
      </c>
      <c r="E11" s="28"/>
      <c r="F11" s="28"/>
      <c r="G11" s="28" t="s">
        <v>91</v>
      </c>
      <c r="H11" s="28" t="s">
        <v>93</v>
      </c>
      <c r="I11" s="28"/>
      <c r="J11" s="28" t="s">
        <v>98</v>
      </c>
      <c r="K11" s="28"/>
      <c r="L11" s="28"/>
      <c r="M11" s="28"/>
      <c r="N11" s="28"/>
    </row>
    <row r="12" spans="1:14">
      <c r="A12" s="28"/>
      <c r="B12" s="28" t="s">
        <v>125</v>
      </c>
      <c r="C12" s="52" t="s">
        <v>103</v>
      </c>
      <c r="D12" s="52" t="s">
        <v>104</v>
      </c>
      <c r="E12" s="28"/>
      <c r="F12" s="28"/>
      <c r="G12" s="28" t="s">
        <v>91</v>
      </c>
      <c r="H12" s="28" t="s">
        <v>94</v>
      </c>
      <c r="I12" s="28"/>
      <c r="J12" s="28" t="s">
        <v>98</v>
      </c>
      <c r="K12" s="28"/>
      <c r="L12" s="28"/>
      <c r="M12" s="28"/>
      <c r="N12" s="28"/>
    </row>
    <row r="13" spans="1:14">
      <c r="A13" s="28"/>
      <c r="B13" s="28" t="s">
        <v>125</v>
      </c>
      <c r="C13" s="52" t="s">
        <v>105</v>
      </c>
      <c r="D13" s="52" t="s">
        <v>106</v>
      </c>
      <c r="E13" s="28"/>
      <c r="F13" s="28"/>
      <c r="G13" s="28" t="s">
        <v>122</v>
      </c>
      <c r="H13" s="52" t="s">
        <v>88</v>
      </c>
      <c r="I13" s="28"/>
      <c r="J13" s="28"/>
      <c r="K13" s="28"/>
      <c r="L13" s="28"/>
      <c r="M13" s="28"/>
      <c r="N13" s="28"/>
    </row>
    <row r="14" spans="1:14">
      <c r="A14" s="28"/>
      <c r="B14" s="28" t="s">
        <v>125</v>
      </c>
      <c r="C14" s="52" t="s">
        <v>107</v>
      </c>
      <c r="D14" s="52" t="s">
        <v>108</v>
      </c>
      <c r="E14" s="28"/>
      <c r="F14" s="28"/>
      <c r="G14" s="28" t="s">
        <v>122</v>
      </c>
      <c r="H14" s="52" t="s">
        <v>89</v>
      </c>
      <c r="I14" s="28"/>
      <c r="J14" s="28"/>
      <c r="K14" s="28"/>
      <c r="L14" s="28"/>
      <c r="M14" s="28"/>
      <c r="N14" s="28"/>
    </row>
    <row r="15" spans="1:14">
      <c r="A15" s="28"/>
      <c r="E15" s="28"/>
      <c r="F15" s="28"/>
      <c r="G15" s="28" t="s">
        <v>122</v>
      </c>
      <c r="H15" s="52" t="s">
        <v>90</v>
      </c>
      <c r="I15" s="28"/>
      <c r="J15" s="28"/>
      <c r="K15" s="28"/>
      <c r="L15" s="28"/>
      <c r="M15" s="28"/>
      <c r="N15" s="28"/>
    </row>
    <row r="16" spans="1:14">
      <c r="A16" s="28"/>
      <c r="B16" s="28" t="s">
        <v>120</v>
      </c>
      <c r="C16" s="28" t="s">
        <v>117</v>
      </c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</row>
    <row r="17" spans="1:14">
      <c r="A17" s="28"/>
      <c r="B17" s="28" t="s">
        <v>120</v>
      </c>
      <c r="C17" s="52" t="s">
        <v>127</v>
      </c>
      <c r="D17" s="28"/>
      <c r="E17" s="28"/>
      <c r="F17" s="28"/>
      <c r="G17" s="28" t="s">
        <v>135</v>
      </c>
      <c r="H17" s="28" t="s">
        <v>136</v>
      </c>
      <c r="I17" s="28"/>
      <c r="J17" s="28"/>
      <c r="K17" s="28"/>
      <c r="L17" s="28"/>
      <c r="M17" s="28"/>
      <c r="N17" s="28"/>
    </row>
    <row r="18" spans="1:14">
      <c r="A18" s="28"/>
      <c r="B18" s="28" t="s">
        <v>120</v>
      </c>
      <c r="C18" s="28" t="s">
        <v>128</v>
      </c>
      <c r="D18" s="52"/>
      <c r="E18" s="28"/>
      <c r="F18" s="28"/>
      <c r="G18" s="28"/>
      <c r="H18" s="28"/>
      <c r="I18" s="28"/>
      <c r="J18" s="28"/>
      <c r="K18" s="28"/>
      <c r="L18" s="28"/>
      <c r="M18" s="28"/>
      <c r="N18" s="28"/>
    </row>
    <row r="19" spans="1:14">
      <c r="A19" s="28"/>
      <c r="B19" s="28" t="s">
        <v>120</v>
      </c>
      <c r="C19" s="28" t="s">
        <v>116</v>
      </c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</row>
    <row r="20" spans="1:14">
      <c r="A20" s="28"/>
      <c r="B20" s="28" t="s">
        <v>120</v>
      </c>
      <c r="C20" s="52" t="s">
        <v>109</v>
      </c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</row>
    <row r="21" spans="1:14">
      <c r="A21" s="28"/>
      <c r="B21" s="28" t="s">
        <v>121</v>
      </c>
      <c r="C21" s="52" t="s">
        <v>112</v>
      </c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</row>
    <row r="22" spans="1:14">
      <c r="A22" s="28"/>
      <c r="B22" s="28" t="s">
        <v>121</v>
      </c>
      <c r="C22" s="52" t="s">
        <v>113</v>
      </c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</row>
    <row r="23" spans="1:14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</row>
    <row r="24" spans="1:14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</row>
    <row r="25" spans="1:14">
      <c r="I25" s="33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マンション経費</vt:lpstr>
      <vt:lpstr>NISA結果乱数</vt:lpstr>
      <vt:lpstr>所得税と年金</vt:lpstr>
      <vt:lpstr>2024-11月住宅初期費用</vt:lpstr>
      <vt:lpstr>ron</vt:lpstr>
      <vt:lpstr>paswad</vt:lpstr>
      <vt:lpstr>マンション経費!Print_Area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宰 山本</dc:creator>
  <cp:lastModifiedBy>宰 山本</cp:lastModifiedBy>
  <cp:lastPrinted>2025-06-16T14:25:57Z</cp:lastPrinted>
  <dcterms:created xsi:type="dcterms:W3CDTF">2024-07-16T10:43:31Z</dcterms:created>
  <dcterms:modified xsi:type="dcterms:W3CDTF">2025-10-29T09:49:05Z</dcterms:modified>
</cp:coreProperties>
</file>